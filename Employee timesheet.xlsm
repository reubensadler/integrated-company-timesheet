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uben\Documents\Programming\Timesheets\"/>
    </mc:Choice>
  </mc:AlternateContent>
  <xr:revisionPtr revIDLastSave="0" documentId="13_ncr:1_{267421A9-FB5C-4F0E-BA36-25006488285C}" xr6:coauthVersionLast="45" xr6:coauthVersionMax="45" xr10:uidLastSave="{00000000-0000-0000-0000-000000000000}"/>
  <bookViews>
    <workbookView xWindow="-108" yWindow="-108" windowWidth="23256" windowHeight="12576" tabRatio="697" xr2:uid="{00000000-000D-0000-FFFF-FFFF00000000}"/>
  </bookViews>
  <sheets>
    <sheet name="wk1" sheetId="56" r:id="rId1"/>
    <sheet name="wk2" sheetId="57" r:id="rId2"/>
    <sheet name="blank" sheetId="2" r:id="rId3"/>
    <sheet name="details" sheetId="54" r:id="rId4"/>
    <sheet name="project numbers" sheetId="4" r:id="rId5"/>
  </sheets>
  <functionGroups builtInGroupCount="19"/>
  <externalReferences>
    <externalReference r:id="rId6"/>
  </externalReferences>
  <definedNames>
    <definedName name="Number_list">'project numbers'!$C$3:$C$302</definedName>
    <definedName name="Project_list">'project numbers'!$B$3:$B$302</definedName>
    <definedName name="Project_table">'project numbers'!$B$3:$F$302</definedName>
    <definedName name="Type_list">'project numbers'!$D$3:$D$302</definedName>
    <definedName name="wk1_Projects" localSheetId="0">'wk1'!$A$5:$A$22,'wk1'!$A$26:$A$43,'wk1'!$A$47:$A$64,'wk1'!$A$68:$A$85,'wk1'!$A$89:$A$106,'wk1'!$A$110:$A$127,'wk1'!$A$131:$A$148</definedName>
    <definedName name="wk2_Projects" localSheetId="1">'wk2'!$A$5:$A$22,'wk2'!$A$26:$A$43,'wk2'!$A$47:$A$64,'wk2'!$A$68:$A$85,'wk2'!$A$89:$A$106,'wk2'!$A$110:$A$127,'wk2'!$A$131:$A$148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4" l="1" a="1"/>
  <c r="B7" i="4" s="1"/>
  <c r="B10" i="4" l="1" a="1"/>
  <c r="B10" i="4" s="1"/>
  <c r="F151" i="57"/>
  <c r="E151" i="57"/>
  <c r="J148" i="57"/>
  <c r="I148" i="57"/>
  <c r="H148" i="57"/>
  <c r="G148" i="57"/>
  <c r="F148" i="57"/>
  <c r="E148" i="57"/>
  <c r="B148" i="57"/>
  <c r="J147" i="57"/>
  <c r="I147" i="57"/>
  <c r="H147" i="57"/>
  <c r="G147" i="57"/>
  <c r="F147" i="57"/>
  <c r="E147" i="57"/>
  <c r="B147" i="57"/>
  <c r="J146" i="57"/>
  <c r="I146" i="57"/>
  <c r="H146" i="57"/>
  <c r="G146" i="57"/>
  <c r="F146" i="57"/>
  <c r="E146" i="57"/>
  <c r="B146" i="57"/>
  <c r="J145" i="57"/>
  <c r="I145" i="57"/>
  <c r="H145" i="57"/>
  <c r="G145" i="57"/>
  <c r="F145" i="57"/>
  <c r="E145" i="57"/>
  <c r="B145" i="57"/>
  <c r="J144" i="57"/>
  <c r="I144" i="57"/>
  <c r="H144" i="57"/>
  <c r="G144" i="57"/>
  <c r="F144" i="57"/>
  <c r="E144" i="57"/>
  <c r="B144" i="57"/>
  <c r="J143" i="57"/>
  <c r="I143" i="57"/>
  <c r="H143" i="57"/>
  <c r="G143" i="57"/>
  <c r="F143" i="57"/>
  <c r="E143" i="57"/>
  <c r="B143" i="57"/>
  <c r="J142" i="57"/>
  <c r="I142" i="57"/>
  <c r="H142" i="57"/>
  <c r="G142" i="57"/>
  <c r="F142" i="57"/>
  <c r="E142" i="57"/>
  <c r="B142" i="57"/>
  <c r="J141" i="57"/>
  <c r="I141" i="57"/>
  <c r="H141" i="57"/>
  <c r="G141" i="57"/>
  <c r="F141" i="57"/>
  <c r="E141" i="57"/>
  <c r="B141" i="57"/>
  <c r="J140" i="57"/>
  <c r="I140" i="57"/>
  <c r="H140" i="57"/>
  <c r="G140" i="57"/>
  <c r="F140" i="57"/>
  <c r="E140" i="57"/>
  <c r="B140" i="57"/>
  <c r="J139" i="57"/>
  <c r="I139" i="57"/>
  <c r="H139" i="57"/>
  <c r="G139" i="57"/>
  <c r="F139" i="57"/>
  <c r="E139" i="57"/>
  <c r="B139" i="57"/>
  <c r="J138" i="57"/>
  <c r="I138" i="57"/>
  <c r="H138" i="57"/>
  <c r="G138" i="57"/>
  <c r="F138" i="57"/>
  <c r="E138" i="57"/>
  <c r="B138" i="57"/>
  <c r="J137" i="57"/>
  <c r="I137" i="57"/>
  <c r="H137" i="57"/>
  <c r="G137" i="57"/>
  <c r="F137" i="57"/>
  <c r="E137" i="57"/>
  <c r="B137" i="57"/>
  <c r="J136" i="57"/>
  <c r="I136" i="57"/>
  <c r="H136" i="57"/>
  <c r="G136" i="57"/>
  <c r="F136" i="57"/>
  <c r="E136" i="57"/>
  <c r="B136" i="57"/>
  <c r="J135" i="57"/>
  <c r="I135" i="57"/>
  <c r="H135" i="57"/>
  <c r="G135" i="57"/>
  <c r="F135" i="57"/>
  <c r="E135" i="57"/>
  <c r="B135" i="57"/>
  <c r="J134" i="57"/>
  <c r="I134" i="57"/>
  <c r="H134" i="57"/>
  <c r="G134" i="57"/>
  <c r="F134" i="57"/>
  <c r="E134" i="57"/>
  <c r="B134" i="57"/>
  <c r="J133" i="57"/>
  <c r="I133" i="57"/>
  <c r="H133" i="57"/>
  <c r="G133" i="57"/>
  <c r="F133" i="57"/>
  <c r="E133" i="57"/>
  <c r="B133" i="57"/>
  <c r="J132" i="57"/>
  <c r="I132" i="57"/>
  <c r="H132" i="57"/>
  <c r="G132" i="57"/>
  <c r="F132" i="57"/>
  <c r="E132" i="57"/>
  <c r="B132" i="57"/>
  <c r="J131" i="57"/>
  <c r="J149" i="57" s="1"/>
  <c r="I131" i="57"/>
  <c r="H131" i="57"/>
  <c r="G131" i="57"/>
  <c r="F131" i="57"/>
  <c r="E131" i="57"/>
  <c r="B131" i="57"/>
  <c r="J127" i="57"/>
  <c r="I127" i="57"/>
  <c r="H127" i="57"/>
  <c r="G127" i="57"/>
  <c r="F127" i="57"/>
  <c r="E127" i="57"/>
  <c r="B127" i="57"/>
  <c r="J126" i="57"/>
  <c r="I126" i="57"/>
  <c r="H126" i="57"/>
  <c r="G126" i="57"/>
  <c r="F126" i="57"/>
  <c r="E126" i="57"/>
  <c r="B126" i="57"/>
  <c r="J125" i="57"/>
  <c r="I125" i="57"/>
  <c r="H125" i="57"/>
  <c r="G125" i="57"/>
  <c r="F125" i="57"/>
  <c r="E125" i="57"/>
  <c r="B125" i="57"/>
  <c r="J124" i="57"/>
  <c r="I124" i="57"/>
  <c r="H124" i="57"/>
  <c r="G124" i="57"/>
  <c r="F124" i="57"/>
  <c r="E124" i="57"/>
  <c r="B124" i="57"/>
  <c r="J123" i="57"/>
  <c r="I123" i="57"/>
  <c r="H123" i="57"/>
  <c r="G123" i="57"/>
  <c r="F123" i="57"/>
  <c r="E123" i="57"/>
  <c r="B123" i="57"/>
  <c r="J122" i="57"/>
  <c r="I122" i="57"/>
  <c r="H122" i="57"/>
  <c r="G122" i="57"/>
  <c r="F122" i="57"/>
  <c r="E122" i="57"/>
  <c r="B122" i="57"/>
  <c r="J121" i="57"/>
  <c r="I121" i="57"/>
  <c r="H121" i="57"/>
  <c r="G121" i="57"/>
  <c r="F121" i="57"/>
  <c r="E121" i="57"/>
  <c r="B121" i="57"/>
  <c r="J120" i="57"/>
  <c r="I120" i="57"/>
  <c r="H120" i="57"/>
  <c r="G120" i="57"/>
  <c r="F120" i="57"/>
  <c r="E120" i="57"/>
  <c r="B120" i="57"/>
  <c r="J119" i="57"/>
  <c r="I119" i="57"/>
  <c r="H119" i="57"/>
  <c r="G119" i="57"/>
  <c r="F119" i="57"/>
  <c r="E119" i="57"/>
  <c r="B119" i="57"/>
  <c r="J118" i="57"/>
  <c r="I118" i="57"/>
  <c r="H118" i="57"/>
  <c r="G118" i="57"/>
  <c r="F118" i="57"/>
  <c r="E118" i="57"/>
  <c r="B118" i="57"/>
  <c r="J117" i="57"/>
  <c r="I117" i="57"/>
  <c r="H117" i="57"/>
  <c r="G117" i="57"/>
  <c r="F117" i="57"/>
  <c r="E117" i="57"/>
  <c r="B117" i="57"/>
  <c r="J116" i="57"/>
  <c r="I116" i="57"/>
  <c r="H116" i="57"/>
  <c r="G116" i="57"/>
  <c r="F116" i="57"/>
  <c r="E116" i="57"/>
  <c r="B116" i="57"/>
  <c r="J115" i="57"/>
  <c r="I115" i="57"/>
  <c r="H115" i="57"/>
  <c r="G115" i="57"/>
  <c r="F115" i="57"/>
  <c r="E115" i="57"/>
  <c r="B115" i="57"/>
  <c r="J114" i="57"/>
  <c r="I114" i="57"/>
  <c r="H114" i="57"/>
  <c r="G114" i="57"/>
  <c r="F114" i="57"/>
  <c r="E114" i="57"/>
  <c r="B114" i="57"/>
  <c r="J113" i="57"/>
  <c r="I113" i="57"/>
  <c r="H113" i="57"/>
  <c r="G113" i="57"/>
  <c r="F113" i="57"/>
  <c r="E113" i="57"/>
  <c r="B113" i="57"/>
  <c r="J112" i="57"/>
  <c r="I112" i="57"/>
  <c r="H112" i="57"/>
  <c r="G112" i="57"/>
  <c r="F112" i="57"/>
  <c r="E112" i="57"/>
  <c r="B112" i="57"/>
  <c r="J111" i="57"/>
  <c r="I111" i="57"/>
  <c r="H111" i="57"/>
  <c r="G111" i="57"/>
  <c r="F111" i="57"/>
  <c r="E111" i="57"/>
  <c r="B111" i="57"/>
  <c r="J110" i="57"/>
  <c r="I110" i="57"/>
  <c r="H110" i="57"/>
  <c r="H128" i="57" s="1"/>
  <c r="G110" i="57"/>
  <c r="F110" i="57"/>
  <c r="E110" i="57"/>
  <c r="B110" i="57"/>
  <c r="J106" i="57"/>
  <c r="I106" i="57"/>
  <c r="H106" i="57"/>
  <c r="G106" i="57"/>
  <c r="F106" i="57"/>
  <c r="E106" i="57"/>
  <c r="B106" i="57"/>
  <c r="J105" i="57"/>
  <c r="I105" i="57"/>
  <c r="H105" i="57"/>
  <c r="G105" i="57"/>
  <c r="F105" i="57"/>
  <c r="E105" i="57"/>
  <c r="B105" i="57"/>
  <c r="J104" i="57"/>
  <c r="I104" i="57"/>
  <c r="H104" i="57"/>
  <c r="G104" i="57"/>
  <c r="F104" i="57"/>
  <c r="E104" i="57"/>
  <c r="B104" i="57"/>
  <c r="J103" i="57"/>
  <c r="I103" i="57"/>
  <c r="H103" i="57"/>
  <c r="G103" i="57"/>
  <c r="F103" i="57"/>
  <c r="E103" i="57"/>
  <c r="B103" i="57"/>
  <c r="J102" i="57"/>
  <c r="I102" i="57"/>
  <c r="H102" i="57"/>
  <c r="G102" i="57"/>
  <c r="F102" i="57"/>
  <c r="E102" i="57"/>
  <c r="B102" i="57"/>
  <c r="J101" i="57"/>
  <c r="I101" i="57"/>
  <c r="H101" i="57"/>
  <c r="G101" i="57"/>
  <c r="F101" i="57"/>
  <c r="E101" i="57"/>
  <c r="B101" i="57"/>
  <c r="J100" i="57"/>
  <c r="I100" i="57"/>
  <c r="H100" i="57"/>
  <c r="G100" i="57"/>
  <c r="F100" i="57"/>
  <c r="E100" i="57"/>
  <c r="B100" i="57"/>
  <c r="J99" i="57"/>
  <c r="I99" i="57"/>
  <c r="H99" i="57"/>
  <c r="G99" i="57"/>
  <c r="F99" i="57"/>
  <c r="E99" i="57"/>
  <c r="B99" i="57"/>
  <c r="J98" i="57"/>
  <c r="I98" i="57"/>
  <c r="H98" i="57"/>
  <c r="G98" i="57"/>
  <c r="F98" i="57"/>
  <c r="E98" i="57"/>
  <c r="B98" i="57"/>
  <c r="J97" i="57"/>
  <c r="I97" i="57"/>
  <c r="H97" i="57"/>
  <c r="G97" i="57"/>
  <c r="F97" i="57"/>
  <c r="E97" i="57"/>
  <c r="B97" i="57"/>
  <c r="J96" i="57"/>
  <c r="I96" i="57"/>
  <c r="H96" i="57"/>
  <c r="G96" i="57"/>
  <c r="F96" i="57"/>
  <c r="E96" i="57"/>
  <c r="B96" i="57"/>
  <c r="J95" i="57"/>
  <c r="I95" i="57"/>
  <c r="H95" i="57"/>
  <c r="G95" i="57"/>
  <c r="F95" i="57"/>
  <c r="E95" i="57"/>
  <c r="B95" i="57"/>
  <c r="J94" i="57"/>
  <c r="I94" i="57"/>
  <c r="H94" i="57"/>
  <c r="G94" i="57"/>
  <c r="F94" i="57"/>
  <c r="E94" i="57"/>
  <c r="B94" i="57"/>
  <c r="J93" i="57"/>
  <c r="I93" i="57"/>
  <c r="H93" i="57"/>
  <c r="G93" i="57"/>
  <c r="F93" i="57"/>
  <c r="E93" i="57"/>
  <c r="B93" i="57"/>
  <c r="J92" i="57"/>
  <c r="I92" i="57"/>
  <c r="H92" i="57"/>
  <c r="G92" i="57"/>
  <c r="F92" i="57"/>
  <c r="E92" i="57"/>
  <c r="B92" i="57"/>
  <c r="J91" i="57"/>
  <c r="I91" i="57"/>
  <c r="H91" i="57"/>
  <c r="G91" i="57"/>
  <c r="F91" i="57"/>
  <c r="E91" i="57"/>
  <c r="B91" i="57"/>
  <c r="J90" i="57"/>
  <c r="I90" i="57"/>
  <c r="H90" i="57"/>
  <c r="G90" i="57"/>
  <c r="F90" i="57"/>
  <c r="E90" i="57"/>
  <c r="B90" i="57"/>
  <c r="J89" i="57"/>
  <c r="I89" i="57"/>
  <c r="H89" i="57"/>
  <c r="G89" i="57"/>
  <c r="F89" i="57"/>
  <c r="E89" i="57"/>
  <c r="B89" i="57"/>
  <c r="J85" i="57"/>
  <c r="I85" i="57"/>
  <c r="H85" i="57"/>
  <c r="G85" i="57"/>
  <c r="F85" i="57"/>
  <c r="E85" i="57"/>
  <c r="B85" i="57"/>
  <c r="J84" i="57"/>
  <c r="I84" i="57"/>
  <c r="H84" i="57"/>
  <c r="G84" i="57"/>
  <c r="F84" i="57"/>
  <c r="E84" i="57"/>
  <c r="B84" i="57"/>
  <c r="J83" i="57"/>
  <c r="I83" i="57"/>
  <c r="H83" i="57"/>
  <c r="G83" i="57"/>
  <c r="F83" i="57"/>
  <c r="E83" i="57"/>
  <c r="B83" i="57"/>
  <c r="J82" i="57"/>
  <c r="I82" i="57"/>
  <c r="H82" i="57"/>
  <c r="G82" i="57"/>
  <c r="F82" i="57"/>
  <c r="E82" i="57"/>
  <c r="B82" i="57"/>
  <c r="J81" i="57"/>
  <c r="I81" i="57"/>
  <c r="H81" i="57"/>
  <c r="G81" i="57"/>
  <c r="F81" i="57"/>
  <c r="E81" i="57"/>
  <c r="B81" i="57"/>
  <c r="J80" i="57"/>
  <c r="I80" i="57"/>
  <c r="H80" i="57"/>
  <c r="G80" i="57"/>
  <c r="F80" i="57"/>
  <c r="E80" i="57"/>
  <c r="B80" i="57"/>
  <c r="J79" i="57"/>
  <c r="I79" i="57"/>
  <c r="H79" i="57"/>
  <c r="G79" i="57"/>
  <c r="F79" i="57"/>
  <c r="E79" i="57"/>
  <c r="B79" i="57"/>
  <c r="J78" i="57"/>
  <c r="I78" i="57"/>
  <c r="H78" i="57"/>
  <c r="G78" i="57"/>
  <c r="F78" i="57"/>
  <c r="E78" i="57"/>
  <c r="B78" i="57"/>
  <c r="J77" i="57"/>
  <c r="I77" i="57"/>
  <c r="H77" i="57"/>
  <c r="G77" i="57"/>
  <c r="F77" i="57"/>
  <c r="E77" i="57"/>
  <c r="B77" i="57"/>
  <c r="J76" i="57"/>
  <c r="I76" i="57"/>
  <c r="H76" i="57"/>
  <c r="G76" i="57"/>
  <c r="F76" i="57"/>
  <c r="E76" i="57"/>
  <c r="B76" i="57"/>
  <c r="J75" i="57"/>
  <c r="I75" i="57"/>
  <c r="H75" i="57"/>
  <c r="G75" i="57"/>
  <c r="F75" i="57"/>
  <c r="E75" i="57"/>
  <c r="B75" i="57"/>
  <c r="J74" i="57"/>
  <c r="I74" i="57"/>
  <c r="H74" i="57"/>
  <c r="G74" i="57"/>
  <c r="F74" i="57"/>
  <c r="E74" i="57"/>
  <c r="B74" i="57"/>
  <c r="J73" i="57"/>
  <c r="I73" i="57"/>
  <c r="H73" i="57"/>
  <c r="G73" i="57"/>
  <c r="F73" i="57"/>
  <c r="E73" i="57"/>
  <c r="B73" i="57"/>
  <c r="J72" i="57"/>
  <c r="I72" i="57"/>
  <c r="H72" i="57"/>
  <c r="G72" i="57"/>
  <c r="F72" i="57"/>
  <c r="E72" i="57"/>
  <c r="B72" i="57"/>
  <c r="J71" i="57"/>
  <c r="I71" i="57"/>
  <c r="H71" i="57"/>
  <c r="G71" i="57"/>
  <c r="F71" i="57"/>
  <c r="E71" i="57"/>
  <c r="B71" i="57"/>
  <c r="J70" i="57"/>
  <c r="I70" i="57"/>
  <c r="H70" i="57"/>
  <c r="G70" i="57"/>
  <c r="F70" i="57"/>
  <c r="E70" i="57"/>
  <c r="B70" i="57"/>
  <c r="J69" i="57"/>
  <c r="I69" i="57"/>
  <c r="H69" i="57"/>
  <c r="G69" i="57"/>
  <c r="F69" i="57"/>
  <c r="E69" i="57"/>
  <c r="B69" i="57"/>
  <c r="J68" i="57"/>
  <c r="I68" i="57"/>
  <c r="H68" i="57"/>
  <c r="G68" i="57"/>
  <c r="F68" i="57"/>
  <c r="E68" i="57"/>
  <c r="B68" i="57"/>
  <c r="J64" i="57"/>
  <c r="I64" i="57"/>
  <c r="H64" i="57"/>
  <c r="G64" i="57"/>
  <c r="F64" i="57"/>
  <c r="E64" i="57"/>
  <c r="B64" i="57"/>
  <c r="J63" i="57"/>
  <c r="I63" i="57"/>
  <c r="H63" i="57"/>
  <c r="G63" i="57"/>
  <c r="F63" i="57"/>
  <c r="E63" i="57"/>
  <c r="B63" i="57"/>
  <c r="J62" i="57"/>
  <c r="I62" i="57"/>
  <c r="H62" i="57"/>
  <c r="G62" i="57"/>
  <c r="F62" i="57"/>
  <c r="E62" i="57"/>
  <c r="B62" i="57"/>
  <c r="J61" i="57"/>
  <c r="I61" i="57"/>
  <c r="H61" i="57"/>
  <c r="G61" i="57"/>
  <c r="F61" i="57"/>
  <c r="E61" i="57"/>
  <c r="B61" i="57"/>
  <c r="J60" i="57"/>
  <c r="I60" i="57"/>
  <c r="H60" i="57"/>
  <c r="G60" i="57"/>
  <c r="F60" i="57"/>
  <c r="E60" i="57"/>
  <c r="B60" i="57"/>
  <c r="J59" i="57"/>
  <c r="I59" i="57"/>
  <c r="H59" i="57"/>
  <c r="G59" i="57"/>
  <c r="F59" i="57"/>
  <c r="E59" i="57"/>
  <c r="B59" i="57"/>
  <c r="J58" i="57"/>
  <c r="I58" i="57"/>
  <c r="H58" i="57"/>
  <c r="G58" i="57"/>
  <c r="F58" i="57"/>
  <c r="E58" i="57"/>
  <c r="B58" i="57"/>
  <c r="J57" i="57"/>
  <c r="I57" i="57"/>
  <c r="H57" i="57"/>
  <c r="G57" i="57"/>
  <c r="F57" i="57"/>
  <c r="E57" i="57"/>
  <c r="B57" i="57"/>
  <c r="J56" i="57"/>
  <c r="I56" i="57"/>
  <c r="H56" i="57"/>
  <c r="G56" i="57"/>
  <c r="F56" i="57"/>
  <c r="E56" i="57"/>
  <c r="B56" i="57"/>
  <c r="J55" i="57"/>
  <c r="I55" i="57"/>
  <c r="H55" i="57"/>
  <c r="G55" i="57"/>
  <c r="F55" i="57"/>
  <c r="E55" i="57"/>
  <c r="B55" i="57"/>
  <c r="J54" i="57"/>
  <c r="I54" i="57"/>
  <c r="H54" i="57"/>
  <c r="G54" i="57"/>
  <c r="F54" i="57"/>
  <c r="E54" i="57"/>
  <c r="B54" i="57"/>
  <c r="J53" i="57"/>
  <c r="I53" i="57"/>
  <c r="H53" i="57"/>
  <c r="G53" i="57"/>
  <c r="F53" i="57"/>
  <c r="E53" i="57"/>
  <c r="B53" i="57"/>
  <c r="J52" i="57"/>
  <c r="I52" i="57"/>
  <c r="H52" i="57"/>
  <c r="G52" i="57"/>
  <c r="F52" i="57"/>
  <c r="E52" i="57"/>
  <c r="B52" i="57"/>
  <c r="J51" i="57"/>
  <c r="I51" i="57"/>
  <c r="H51" i="57"/>
  <c r="G51" i="57"/>
  <c r="F51" i="57"/>
  <c r="E51" i="57"/>
  <c r="B51" i="57"/>
  <c r="J50" i="57"/>
  <c r="I50" i="57"/>
  <c r="H50" i="57"/>
  <c r="G50" i="57"/>
  <c r="F50" i="57"/>
  <c r="E50" i="57"/>
  <c r="B50" i="57"/>
  <c r="J49" i="57"/>
  <c r="I49" i="57"/>
  <c r="H49" i="57"/>
  <c r="G49" i="57"/>
  <c r="F49" i="57"/>
  <c r="E49" i="57"/>
  <c r="B49" i="57"/>
  <c r="J48" i="57"/>
  <c r="I48" i="57"/>
  <c r="H48" i="57"/>
  <c r="G48" i="57"/>
  <c r="F48" i="57"/>
  <c r="E48" i="57"/>
  <c r="B48" i="57"/>
  <c r="J47" i="57"/>
  <c r="J65" i="57" s="1"/>
  <c r="I47" i="57"/>
  <c r="H47" i="57"/>
  <c r="G47" i="57"/>
  <c r="F47" i="57"/>
  <c r="E47" i="57"/>
  <c r="B47" i="57"/>
  <c r="J43" i="57"/>
  <c r="I43" i="57"/>
  <c r="H43" i="57"/>
  <c r="G43" i="57"/>
  <c r="F43" i="57"/>
  <c r="E43" i="57"/>
  <c r="B43" i="57"/>
  <c r="J42" i="57"/>
  <c r="I42" i="57"/>
  <c r="H42" i="57"/>
  <c r="G42" i="57"/>
  <c r="F42" i="57"/>
  <c r="E42" i="57"/>
  <c r="B42" i="57"/>
  <c r="J41" i="57"/>
  <c r="I41" i="57"/>
  <c r="H41" i="57"/>
  <c r="G41" i="57"/>
  <c r="F41" i="57"/>
  <c r="E41" i="57"/>
  <c r="B41" i="57"/>
  <c r="J40" i="57"/>
  <c r="I40" i="57"/>
  <c r="H40" i="57"/>
  <c r="G40" i="57"/>
  <c r="F40" i="57"/>
  <c r="E40" i="57"/>
  <c r="B40" i="57"/>
  <c r="J39" i="57"/>
  <c r="I39" i="57"/>
  <c r="H39" i="57"/>
  <c r="G39" i="57"/>
  <c r="F39" i="57"/>
  <c r="E39" i="57"/>
  <c r="B39" i="57"/>
  <c r="J38" i="57"/>
  <c r="I38" i="57"/>
  <c r="H38" i="57"/>
  <c r="G38" i="57"/>
  <c r="F38" i="57"/>
  <c r="E38" i="57"/>
  <c r="B38" i="57"/>
  <c r="J37" i="57"/>
  <c r="I37" i="57"/>
  <c r="H37" i="57"/>
  <c r="G37" i="57"/>
  <c r="F37" i="57"/>
  <c r="E37" i="57"/>
  <c r="B37" i="57"/>
  <c r="J36" i="57"/>
  <c r="I36" i="57"/>
  <c r="H36" i="57"/>
  <c r="G36" i="57"/>
  <c r="F36" i="57"/>
  <c r="E36" i="57"/>
  <c r="B36" i="57"/>
  <c r="J35" i="57"/>
  <c r="I35" i="57"/>
  <c r="H35" i="57"/>
  <c r="G35" i="57"/>
  <c r="F35" i="57"/>
  <c r="E35" i="57"/>
  <c r="B35" i="57"/>
  <c r="J34" i="57"/>
  <c r="I34" i="57"/>
  <c r="H34" i="57"/>
  <c r="G34" i="57"/>
  <c r="F34" i="57"/>
  <c r="E34" i="57"/>
  <c r="B34" i="57"/>
  <c r="J33" i="57"/>
  <c r="I33" i="57"/>
  <c r="H33" i="57"/>
  <c r="G33" i="57"/>
  <c r="F33" i="57"/>
  <c r="E33" i="57"/>
  <c r="B33" i="57"/>
  <c r="J32" i="57"/>
  <c r="I32" i="57"/>
  <c r="H32" i="57"/>
  <c r="G32" i="57"/>
  <c r="F32" i="57"/>
  <c r="E32" i="57"/>
  <c r="B32" i="57"/>
  <c r="J31" i="57"/>
  <c r="I31" i="57"/>
  <c r="H31" i="57"/>
  <c r="G31" i="57"/>
  <c r="F31" i="57"/>
  <c r="E31" i="57"/>
  <c r="B31" i="57"/>
  <c r="J30" i="57"/>
  <c r="I30" i="57"/>
  <c r="H30" i="57"/>
  <c r="G30" i="57"/>
  <c r="F30" i="57"/>
  <c r="E30" i="57"/>
  <c r="B30" i="57"/>
  <c r="J29" i="57"/>
  <c r="I29" i="57"/>
  <c r="H29" i="57"/>
  <c r="G29" i="57"/>
  <c r="F29" i="57"/>
  <c r="E29" i="57"/>
  <c r="B29" i="57"/>
  <c r="J28" i="57"/>
  <c r="I28" i="57"/>
  <c r="H28" i="57"/>
  <c r="G28" i="57"/>
  <c r="F28" i="57"/>
  <c r="E28" i="57"/>
  <c r="B28" i="57"/>
  <c r="J27" i="57"/>
  <c r="I27" i="57"/>
  <c r="H27" i="57"/>
  <c r="G27" i="57"/>
  <c r="F27" i="57"/>
  <c r="E27" i="57"/>
  <c r="B27" i="57"/>
  <c r="J26" i="57"/>
  <c r="I26" i="57"/>
  <c r="H26" i="57"/>
  <c r="H44" i="57" s="1"/>
  <c r="G26" i="57"/>
  <c r="F26" i="57"/>
  <c r="E26" i="57"/>
  <c r="B26" i="57"/>
  <c r="J22" i="57"/>
  <c r="I22" i="57"/>
  <c r="H22" i="57"/>
  <c r="G22" i="57"/>
  <c r="F22" i="57"/>
  <c r="E22" i="57"/>
  <c r="B22" i="57"/>
  <c r="J21" i="57"/>
  <c r="I21" i="57"/>
  <c r="H21" i="57"/>
  <c r="G21" i="57"/>
  <c r="F21" i="57"/>
  <c r="E21" i="57"/>
  <c r="B21" i="57"/>
  <c r="J20" i="57"/>
  <c r="I20" i="57"/>
  <c r="H20" i="57"/>
  <c r="G20" i="57"/>
  <c r="F20" i="57"/>
  <c r="E20" i="57"/>
  <c r="B20" i="57"/>
  <c r="J19" i="57"/>
  <c r="I19" i="57"/>
  <c r="H19" i="57"/>
  <c r="G19" i="57"/>
  <c r="F19" i="57"/>
  <c r="E19" i="57"/>
  <c r="B19" i="57"/>
  <c r="J18" i="57"/>
  <c r="I18" i="57"/>
  <c r="H18" i="57"/>
  <c r="G18" i="57"/>
  <c r="F18" i="57"/>
  <c r="E18" i="57"/>
  <c r="B18" i="57"/>
  <c r="J17" i="57"/>
  <c r="I17" i="57"/>
  <c r="H17" i="57"/>
  <c r="G17" i="57"/>
  <c r="F17" i="57"/>
  <c r="E17" i="57"/>
  <c r="B17" i="57"/>
  <c r="J16" i="57"/>
  <c r="I16" i="57"/>
  <c r="H16" i="57"/>
  <c r="G16" i="57"/>
  <c r="F16" i="57"/>
  <c r="E16" i="57"/>
  <c r="B16" i="57"/>
  <c r="J15" i="57"/>
  <c r="I15" i="57"/>
  <c r="H15" i="57"/>
  <c r="G15" i="57"/>
  <c r="F15" i="57"/>
  <c r="E15" i="57"/>
  <c r="B15" i="57"/>
  <c r="J14" i="57"/>
  <c r="I14" i="57"/>
  <c r="H14" i="57"/>
  <c r="G14" i="57"/>
  <c r="F14" i="57"/>
  <c r="E14" i="57"/>
  <c r="B14" i="57"/>
  <c r="J13" i="57"/>
  <c r="I13" i="57"/>
  <c r="H13" i="57"/>
  <c r="G13" i="57"/>
  <c r="F13" i="57"/>
  <c r="E13" i="57"/>
  <c r="B13" i="57"/>
  <c r="J12" i="57"/>
  <c r="I12" i="57"/>
  <c r="H12" i="57"/>
  <c r="G12" i="57"/>
  <c r="F12" i="57"/>
  <c r="E12" i="57"/>
  <c r="B12" i="57"/>
  <c r="J11" i="57"/>
  <c r="I11" i="57"/>
  <c r="H11" i="57"/>
  <c r="G11" i="57"/>
  <c r="F11" i="57"/>
  <c r="E11" i="57"/>
  <c r="B11" i="57"/>
  <c r="J10" i="57"/>
  <c r="I10" i="57"/>
  <c r="H10" i="57"/>
  <c r="G10" i="57"/>
  <c r="F10" i="57"/>
  <c r="E10" i="57"/>
  <c r="B10" i="57"/>
  <c r="J9" i="57"/>
  <c r="I9" i="57"/>
  <c r="H9" i="57"/>
  <c r="G9" i="57"/>
  <c r="F9" i="57"/>
  <c r="E9" i="57"/>
  <c r="B9" i="57"/>
  <c r="J8" i="57"/>
  <c r="I8" i="57"/>
  <c r="H8" i="57"/>
  <c r="G8" i="57"/>
  <c r="F8" i="57"/>
  <c r="E8" i="57"/>
  <c r="B8" i="57"/>
  <c r="J7" i="57"/>
  <c r="I7" i="57"/>
  <c r="H7" i="57"/>
  <c r="G7" i="57"/>
  <c r="F7" i="57"/>
  <c r="E7" i="57"/>
  <c r="B7" i="57"/>
  <c r="J6" i="57"/>
  <c r="I6" i="57"/>
  <c r="H6" i="57"/>
  <c r="G6" i="57"/>
  <c r="F6" i="57"/>
  <c r="E6" i="57"/>
  <c r="B6" i="57"/>
  <c r="K5" i="57"/>
  <c r="J5" i="57"/>
  <c r="I5" i="57"/>
  <c r="H5" i="57"/>
  <c r="G5" i="57"/>
  <c r="F5" i="57"/>
  <c r="E5" i="57"/>
  <c r="B5" i="57"/>
  <c r="E65" i="57" l="1"/>
  <c r="F149" i="57"/>
  <c r="F107" i="57"/>
  <c r="E149" i="57"/>
  <c r="G23" i="57"/>
  <c r="E86" i="57"/>
  <c r="G107" i="57"/>
  <c r="I23" i="57"/>
  <c r="J44" i="57"/>
  <c r="F86" i="57"/>
  <c r="I86" i="57"/>
  <c r="H107" i="57"/>
  <c r="J128" i="57"/>
  <c r="J23" i="57"/>
  <c r="H65" i="57"/>
  <c r="G86" i="57"/>
  <c r="I107" i="57"/>
  <c r="E23" i="57"/>
  <c r="E107" i="57"/>
  <c r="J107" i="57"/>
  <c r="E44" i="57"/>
  <c r="F65" i="57"/>
  <c r="E128" i="57"/>
  <c r="G149" i="57"/>
  <c r="G44" i="57"/>
  <c r="I44" i="57"/>
  <c r="I152" i="57" s="1"/>
  <c r="J86" i="57"/>
  <c r="F128" i="57"/>
  <c r="I128" i="57"/>
  <c r="H149" i="57"/>
  <c r="G65" i="57"/>
  <c r="H86" i="57"/>
  <c r="F44" i="57"/>
  <c r="F23" i="57"/>
  <c r="H23" i="57"/>
  <c r="H152" i="57" s="1"/>
  <c r="I65" i="57"/>
  <c r="G128" i="57"/>
  <c r="I149" i="57"/>
  <c r="F151" i="56"/>
  <c r="E151" i="56"/>
  <c r="J148" i="56"/>
  <c r="I148" i="56"/>
  <c r="H148" i="56"/>
  <c r="G148" i="56"/>
  <c r="F148" i="56"/>
  <c r="E148" i="56"/>
  <c r="B148" i="56"/>
  <c r="J147" i="56"/>
  <c r="I147" i="56"/>
  <c r="H147" i="56"/>
  <c r="G147" i="56"/>
  <c r="F147" i="56"/>
  <c r="E147" i="56"/>
  <c r="B147" i="56"/>
  <c r="J146" i="56"/>
  <c r="I146" i="56"/>
  <c r="H146" i="56"/>
  <c r="G146" i="56"/>
  <c r="F146" i="56"/>
  <c r="E146" i="56"/>
  <c r="B146" i="56"/>
  <c r="J145" i="56"/>
  <c r="I145" i="56"/>
  <c r="H145" i="56"/>
  <c r="G145" i="56"/>
  <c r="F145" i="56"/>
  <c r="E145" i="56"/>
  <c r="B145" i="56"/>
  <c r="J144" i="56"/>
  <c r="I144" i="56"/>
  <c r="H144" i="56"/>
  <c r="G144" i="56"/>
  <c r="F144" i="56"/>
  <c r="E144" i="56"/>
  <c r="B144" i="56"/>
  <c r="J143" i="56"/>
  <c r="I143" i="56"/>
  <c r="H143" i="56"/>
  <c r="G143" i="56"/>
  <c r="F143" i="56"/>
  <c r="E143" i="56"/>
  <c r="B143" i="56"/>
  <c r="J142" i="56"/>
  <c r="I142" i="56"/>
  <c r="H142" i="56"/>
  <c r="G142" i="56"/>
  <c r="F142" i="56"/>
  <c r="E142" i="56"/>
  <c r="B142" i="56"/>
  <c r="J141" i="56"/>
  <c r="I141" i="56"/>
  <c r="H141" i="56"/>
  <c r="G141" i="56"/>
  <c r="F141" i="56"/>
  <c r="E141" i="56"/>
  <c r="B141" i="56"/>
  <c r="J140" i="56"/>
  <c r="I140" i="56"/>
  <c r="H140" i="56"/>
  <c r="G140" i="56"/>
  <c r="F140" i="56"/>
  <c r="E140" i="56"/>
  <c r="B140" i="56"/>
  <c r="J139" i="56"/>
  <c r="I139" i="56"/>
  <c r="H139" i="56"/>
  <c r="G139" i="56"/>
  <c r="F139" i="56"/>
  <c r="E139" i="56"/>
  <c r="B139" i="56"/>
  <c r="J138" i="56"/>
  <c r="I138" i="56"/>
  <c r="H138" i="56"/>
  <c r="G138" i="56"/>
  <c r="F138" i="56"/>
  <c r="E138" i="56"/>
  <c r="B138" i="56"/>
  <c r="J137" i="56"/>
  <c r="I137" i="56"/>
  <c r="H137" i="56"/>
  <c r="G137" i="56"/>
  <c r="F137" i="56"/>
  <c r="E137" i="56"/>
  <c r="B137" i="56"/>
  <c r="J136" i="56"/>
  <c r="I136" i="56"/>
  <c r="H136" i="56"/>
  <c r="G136" i="56"/>
  <c r="F136" i="56"/>
  <c r="E136" i="56"/>
  <c r="B136" i="56"/>
  <c r="J135" i="56"/>
  <c r="I135" i="56"/>
  <c r="H135" i="56"/>
  <c r="G135" i="56"/>
  <c r="F135" i="56"/>
  <c r="E135" i="56"/>
  <c r="B135" i="56"/>
  <c r="J134" i="56"/>
  <c r="I134" i="56"/>
  <c r="H134" i="56"/>
  <c r="G134" i="56"/>
  <c r="F134" i="56"/>
  <c r="E134" i="56"/>
  <c r="B134" i="56"/>
  <c r="J133" i="56"/>
  <c r="I133" i="56"/>
  <c r="H133" i="56"/>
  <c r="G133" i="56"/>
  <c r="F133" i="56"/>
  <c r="E133" i="56"/>
  <c r="B133" i="56"/>
  <c r="J132" i="56"/>
  <c r="I132" i="56"/>
  <c r="H132" i="56"/>
  <c r="G132" i="56"/>
  <c r="F132" i="56"/>
  <c r="E132" i="56"/>
  <c r="B132" i="56"/>
  <c r="J131" i="56"/>
  <c r="I131" i="56"/>
  <c r="H131" i="56"/>
  <c r="G131" i="56"/>
  <c r="F131" i="56"/>
  <c r="E131" i="56"/>
  <c r="B131" i="56"/>
  <c r="J127" i="56"/>
  <c r="I127" i="56"/>
  <c r="H127" i="56"/>
  <c r="G127" i="56"/>
  <c r="F127" i="56"/>
  <c r="E127" i="56"/>
  <c r="B127" i="56"/>
  <c r="J126" i="56"/>
  <c r="I126" i="56"/>
  <c r="H126" i="56"/>
  <c r="G126" i="56"/>
  <c r="F126" i="56"/>
  <c r="E126" i="56"/>
  <c r="B126" i="56"/>
  <c r="J125" i="56"/>
  <c r="I125" i="56"/>
  <c r="H125" i="56"/>
  <c r="G125" i="56"/>
  <c r="F125" i="56"/>
  <c r="E125" i="56"/>
  <c r="B125" i="56"/>
  <c r="J124" i="56"/>
  <c r="I124" i="56"/>
  <c r="H124" i="56"/>
  <c r="G124" i="56"/>
  <c r="F124" i="56"/>
  <c r="E124" i="56"/>
  <c r="B124" i="56"/>
  <c r="J123" i="56"/>
  <c r="I123" i="56"/>
  <c r="H123" i="56"/>
  <c r="G123" i="56"/>
  <c r="F123" i="56"/>
  <c r="E123" i="56"/>
  <c r="B123" i="56"/>
  <c r="J122" i="56"/>
  <c r="I122" i="56"/>
  <c r="H122" i="56"/>
  <c r="G122" i="56"/>
  <c r="F122" i="56"/>
  <c r="E122" i="56"/>
  <c r="B122" i="56"/>
  <c r="J121" i="56"/>
  <c r="I121" i="56"/>
  <c r="H121" i="56"/>
  <c r="G121" i="56"/>
  <c r="F121" i="56"/>
  <c r="E121" i="56"/>
  <c r="B121" i="56"/>
  <c r="J120" i="56"/>
  <c r="I120" i="56"/>
  <c r="H120" i="56"/>
  <c r="G120" i="56"/>
  <c r="F120" i="56"/>
  <c r="E120" i="56"/>
  <c r="B120" i="56"/>
  <c r="J119" i="56"/>
  <c r="I119" i="56"/>
  <c r="H119" i="56"/>
  <c r="G119" i="56"/>
  <c r="F119" i="56"/>
  <c r="E119" i="56"/>
  <c r="B119" i="56"/>
  <c r="J118" i="56"/>
  <c r="I118" i="56"/>
  <c r="H118" i="56"/>
  <c r="G118" i="56"/>
  <c r="F118" i="56"/>
  <c r="E118" i="56"/>
  <c r="B118" i="56"/>
  <c r="J117" i="56"/>
  <c r="I117" i="56"/>
  <c r="H117" i="56"/>
  <c r="G117" i="56"/>
  <c r="F117" i="56"/>
  <c r="E117" i="56"/>
  <c r="B117" i="56"/>
  <c r="J116" i="56"/>
  <c r="I116" i="56"/>
  <c r="H116" i="56"/>
  <c r="G116" i="56"/>
  <c r="F116" i="56"/>
  <c r="E116" i="56"/>
  <c r="B116" i="56"/>
  <c r="J115" i="56"/>
  <c r="I115" i="56"/>
  <c r="H115" i="56"/>
  <c r="G115" i="56"/>
  <c r="F115" i="56"/>
  <c r="E115" i="56"/>
  <c r="B115" i="56"/>
  <c r="J114" i="56"/>
  <c r="I114" i="56"/>
  <c r="H114" i="56"/>
  <c r="G114" i="56"/>
  <c r="F114" i="56"/>
  <c r="E114" i="56"/>
  <c r="B114" i="56"/>
  <c r="J113" i="56"/>
  <c r="I113" i="56"/>
  <c r="H113" i="56"/>
  <c r="G113" i="56"/>
  <c r="F113" i="56"/>
  <c r="E113" i="56"/>
  <c r="B113" i="56"/>
  <c r="J112" i="56"/>
  <c r="I112" i="56"/>
  <c r="H112" i="56"/>
  <c r="G112" i="56"/>
  <c r="F112" i="56"/>
  <c r="E112" i="56"/>
  <c r="B112" i="56"/>
  <c r="J111" i="56"/>
  <c r="I111" i="56"/>
  <c r="H111" i="56"/>
  <c r="G111" i="56"/>
  <c r="F111" i="56"/>
  <c r="E111" i="56"/>
  <c r="B111" i="56"/>
  <c r="J110" i="56"/>
  <c r="I110" i="56"/>
  <c r="H110" i="56"/>
  <c r="G110" i="56"/>
  <c r="F110" i="56"/>
  <c r="E110" i="56"/>
  <c r="B110" i="56"/>
  <c r="J106" i="56"/>
  <c r="I106" i="56"/>
  <c r="H106" i="56"/>
  <c r="G106" i="56"/>
  <c r="F106" i="56"/>
  <c r="E106" i="56"/>
  <c r="B106" i="56"/>
  <c r="J105" i="56"/>
  <c r="I105" i="56"/>
  <c r="H105" i="56"/>
  <c r="G105" i="56"/>
  <c r="F105" i="56"/>
  <c r="E105" i="56"/>
  <c r="B105" i="56"/>
  <c r="J104" i="56"/>
  <c r="I104" i="56"/>
  <c r="H104" i="56"/>
  <c r="G104" i="56"/>
  <c r="F104" i="56"/>
  <c r="E104" i="56"/>
  <c r="B104" i="56"/>
  <c r="J103" i="56"/>
  <c r="I103" i="56"/>
  <c r="H103" i="56"/>
  <c r="G103" i="56"/>
  <c r="F103" i="56"/>
  <c r="E103" i="56"/>
  <c r="B103" i="56"/>
  <c r="J102" i="56"/>
  <c r="I102" i="56"/>
  <c r="H102" i="56"/>
  <c r="G102" i="56"/>
  <c r="F102" i="56"/>
  <c r="E102" i="56"/>
  <c r="B102" i="56"/>
  <c r="J101" i="56"/>
  <c r="I101" i="56"/>
  <c r="H101" i="56"/>
  <c r="G101" i="56"/>
  <c r="F101" i="56"/>
  <c r="E101" i="56"/>
  <c r="B101" i="56"/>
  <c r="J100" i="56"/>
  <c r="I100" i="56"/>
  <c r="H100" i="56"/>
  <c r="G100" i="56"/>
  <c r="F100" i="56"/>
  <c r="E100" i="56"/>
  <c r="B100" i="56"/>
  <c r="J99" i="56"/>
  <c r="I99" i="56"/>
  <c r="H99" i="56"/>
  <c r="G99" i="56"/>
  <c r="F99" i="56"/>
  <c r="E99" i="56"/>
  <c r="B99" i="56"/>
  <c r="J98" i="56"/>
  <c r="I98" i="56"/>
  <c r="H98" i="56"/>
  <c r="G98" i="56"/>
  <c r="F98" i="56"/>
  <c r="E98" i="56"/>
  <c r="B98" i="56"/>
  <c r="J97" i="56"/>
  <c r="I97" i="56"/>
  <c r="H97" i="56"/>
  <c r="G97" i="56"/>
  <c r="F97" i="56"/>
  <c r="E97" i="56"/>
  <c r="B97" i="56"/>
  <c r="J96" i="56"/>
  <c r="I96" i="56"/>
  <c r="H96" i="56"/>
  <c r="G96" i="56"/>
  <c r="F96" i="56"/>
  <c r="E96" i="56"/>
  <c r="B96" i="56"/>
  <c r="J95" i="56"/>
  <c r="I95" i="56"/>
  <c r="H95" i="56"/>
  <c r="G95" i="56"/>
  <c r="F95" i="56"/>
  <c r="E95" i="56"/>
  <c r="B95" i="56"/>
  <c r="J94" i="56"/>
  <c r="I94" i="56"/>
  <c r="H94" i="56"/>
  <c r="G94" i="56"/>
  <c r="F94" i="56"/>
  <c r="E94" i="56"/>
  <c r="B94" i="56"/>
  <c r="J93" i="56"/>
  <c r="I93" i="56"/>
  <c r="H93" i="56"/>
  <c r="G93" i="56"/>
  <c r="F93" i="56"/>
  <c r="E93" i="56"/>
  <c r="B93" i="56"/>
  <c r="J92" i="56"/>
  <c r="I92" i="56"/>
  <c r="H92" i="56"/>
  <c r="G92" i="56"/>
  <c r="F92" i="56"/>
  <c r="E92" i="56"/>
  <c r="B92" i="56"/>
  <c r="J91" i="56"/>
  <c r="I91" i="56"/>
  <c r="H91" i="56"/>
  <c r="G91" i="56"/>
  <c r="F91" i="56"/>
  <c r="E91" i="56"/>
  <c r="B91" i="56"/>
  <c r="J90" i="56"/>
  <c r="I90" i="56"/>
  <c r="H90" i="56"/>
  <c r="J89" i="56"/>
  <c r="I89" i="56"/>
  <c r="H89" i="56"/>
  <c r="J85" i="56"/>
  <c r="I85" i="56"/>
  <c r="H85" i="56"/>
  <c r="G85" i="56"/>
  <c r="F85" i="56"/>
  <c r="E85" i="56"/>
  <c r="B85" i="56"/>
  <c r="J84" i="56"/>
  <c r="I84" i="56"/>
  <c r="H84" i="56"/>
  <c r="G84" i="56"/>
  <c r="F84" i="56"/>
  <c r="E84" i="56"/>
  <c r="B84" i="56"/>
  <c r="J83" i="56"/>
  <c r="I83" i="56"/>
  <c r="H83" i="56"/>
  <c r="G83" i="56"/>
  <c r="F83" i="56"/>
  <c r="E83" i="56"/>
  <c r="B83" i="56"/>
  <c r="J82" i="56"/>
  <c r="I82" i="56"/>
  <c r="H82" i="56"/>
  <c r="G82" i="56"/>
  <c r="F82" i="56"/>
  <c r="E82" i="56"/>
  <c r="B82" i="56"/>
  <c r="J81" i="56"/>
  <c r="I81" i="56"/>
  <c r="H81" i="56"/>
  <c r="G81" i="56"/>
  <c r="F81" i="56"/>
  <c r="E81" i="56"/>
  <c r="B81" i="56"/>
  <c r="J80" i="56"/>
  <c r="I80" i="56"/>
  <c r="H80" i="56"/>
  <c r="G80" i="56"/>
  <c r="F80" i="56"/>
  <c r="E80" i="56"/>
  <c r="B80" i="56"/>
  <c r="J79" i="56"/>
  <c r="I79" i="56"/>
  <c r="H79" i="56"/>
  <c r="G79" i="56"/>
  <c r="F79" i="56"/>
  <c r="E79" i="56"/>
  <c r="B79" i="56"/>
  <c r="J78" i="56"/>
  <c r="I78" i="56"/>
  <c r="H78" i="56"/>
  <c r="G78" i="56"/>
  <c r="F78" i="56"/>
  <c r="E78" i="56"/>
  <c r="B78" i="56"/>
  <c r="J77" i="56"/>
  <c r="I77" i="56"/>
  <c r="H77" i="56"/>
  <c r="G77" i="56"/>
  <c r="F77" i="56"/>
  <c r="E77" i="56"/>
  <c r="B77" i="56"/>
  <c r="J76" i="56"/>
  <c r="I76" i="56"/>
  <c r="H76" i="56"/>
  <c r="G76" i="56"/>
  <c r="F76" i="56"/>
  <c r="E76" i="56"/>
  <c r="B76" i="56"/>
  <c r="J75" i="56"/>
  <c r="I75" i="56"/>
  <c r="H75" i="56"/>
  <c r="G75" i="56"/>
  <c r="F75" i="56"/>
  <c r="E75" i="56"/>
  <c r="B75" i="56"/>
  <c r="J74" i="56"/>
  <c r="I74" i="56"/>
  <c r="H74" i="56"/>
  <c r="G74" i="56"/>
  <c r="F74" i="56"/>
  <c r="E74" i="56"/>
  <c r="B74" i="56"/>
  <c r="J73" i="56"/>
  <c r="I73" i="56"/>
  <c r="H73" i="56"/>
  <c r="G73" i="56"/>
  <c r="F73" i="56"/>
  <c r="E73" i="56"/>
  <c r="B73" i="56"/>
  <c r="J72" i="56"/>
  <c r="I72" i="56"/>
  <c r="H72" i="56"/>
  <c r="G72" i="56"/>
  <c r="F72" i="56"/>
  <c r="E72" i="56"/>
  <c r="B72" i="56"/>
  <c r="J71" i="56"/>
  <c r="I71" i="56"/>
  <c r="H71" i="56"/>
  <c r="G71" i="56"/>
  <c r="F71" i="56"/>
  <c r="E71" i="56"/>
  <c r="B71" i="56"/>
  <c r="J70" i="56"/>
  <c r="I70" i="56"/>
  <c r="H70" i="56"/>
  <c r="J69" i="56"/>
  <c r="I69" i="56"/>
  <c r="H69" i="56"/>
  <c r="G69" i="56"/>
  <c r="F69" i="56"/>
  <c r="E69" i="56"/>
  <c r="B69" i="56"/>
  <c r="J68" i="56"/>
  <c r="I68" i="56"/>
  <c r="H68" i="56"/>
  <c r="J64" i="56"/>
  <c r="I64" i="56"/>
  <c r="H64" i="56"/>
  <c r="G64" i="56"/>
  <c r="F64" i="56"/>
  <c r="E64" i="56"/>
  <c r="B64" i="56"/>
  <c r="J63" i="56"/>
  <c r="I63" i="56"/>
  <c r="H63" i="56"/>
  <c r="G63" i="56"/>
  <c r="F63" i="56"/>
  <c r="E63" i="56"/>
  <c r="B63" i="56"/>
  <c r="J62" i="56"/>
  <c r="I62" i="56"/>
  <c r="H62" i="56"/>
  <c r="G62" i="56"/>
  <c r="F62" i="56"/>
  <c r="E62" i="56"/>
  <c r="B62" i="56"/>
  <c r="J61" i="56"/>
  <c r="I61" i="56"/>
  <c r="H61" i="56"/>
  <c r="G61" i="56"/>
  <c r="F61" i="56"/>
  <c r="E61" i="56"/>
  <c r="B61" i="56"/>
  <c r="J60" i="56"/>
  <c r="I60" i="56"/>
  <c r="H60" i="56"/>
  <c r="G60" i="56"/>
  <c r="F60" i="56"/>
  <c r="E60" i="56"/>
  <c r="B60" i="56"/>
  <c r="J59" i="56"/>
  <c r="I59" i="56"/>
  <c r="H59" i="56"/>
  <c r="G59" i="56"/>
  <c r="F59" i="56"/>
  <c r="E59" i="56"/>
  <c r="B59" i="56"/>
  <c r="J58" i="56"/>
  <c r="I58" i="56"/>
  <c r="H58" i="56"/>
  <c r="G58" i="56"/>
  <c r="F58" i="56"/>
  <c r="E58" i="56"/>
  <c r="B58" i="56"/>
  <c r="J57" i="56"/>
  <c r="I57" i="56"/>
  <c r="H57" i="56"/>
  <c r="G57" i="56"/>
  <c r="F57" i="56"/>
  <c r="E57" i="56"/>
  <c r="B57" i="56"/>
  <c r="J56" i="56"/>
  <c r="I56" i="56"/>
  <c r="H56" i="56"/>
  <c r="G56" i="56"/>
  <c r="F56" i="56"/>
  <c r="E56" i="56"/>
  <c r="B56" i="56"/>
  <c r="J55" i="56"/>
  <c r="I55" i="56"/>
  <c r="H55" i="56"/>
  <c r="G55" i="56"/>
  <c r="F55" i="56"/>
  <c r="E55" i="56"/>
  <c r="B55" i="56"/>
  <c r="J54" i="56"/>
  <c r="I54" i="56"/>
  <c r="H54" i="56"/>
  <c r="G54" i="56"/>
  <c r="F54" i="56"/>
  <c r="E54" i="56"/>
  <c r="B54" i="56"/>
  <c r="J53" i="56"/>
  <c r="I53" i="56"/>
  <c r="H53" i="56"/>
  <c r="G53" i="56"/>
  <c r="F53" i="56"/>
  <c r="E53" i="56"/>
  <c r="B53" i="56"/>
  <c r="J52" i="56"/>
  <c r="I52" i="56"/>
  <c r="H52" i="56"/>
  <c r="G52" i="56"/>
  <c r="F52" i="56"/>
  <c r="E52" i="56"/>
  <c r="B52" i="56"/>
  <c r="J51" i="56"/>
  <c r="I51" i="56"/>
  <c r="H51" i="56"/>
  <c r="G51" i="56"/>
  <c r="F51" i="56"/>
  <c r="E51" i="56"/>
  <c r="B51" i="56"/>
  <c r="J50" i="56"/>
  <c r="I50" i="56"/>
  <c r="H50" i="56"/>
  <c r="G50" i="56"/>
  <c r="F50" i="56"/>
  <c r="E50" i="56"/>
  <c r="B50" i="56"/>
  <c r="J49" i="56"/>
  <c r="I49" i="56"/>
  <c r="H49" i="56"/>
  <c r="G49" i="56"/>
  <c r="F49" i="56"/>
  <c r="E49" i="56"/>
  <c r="B49" i="56"/>
  <c r="J48" i="56"/>
  <c r="I48" i="56"/>
  <c r="H48" i="56"/>
  <c r="G48" i="56"/>
  <c r="F48" i="56"/>
  <c r="E48" i="56"/>
  <c r="B48" i="56"/>
  <c r="J47" i="56"/>
  <c r="I47" i="56"/>
  <c r="H47" i="56"/>
  <c r="J43" i="56"/>
  <c r="I43" i="56"/>
  <c r="H43" i="56"/>
  <c r="G43" i="56"/>
  <c r="F43" i="56"/>
  <c r="E43" i="56"/>
  <c r="B43" i="56"/>
  <c r="J42" i="56"/>
  <c r="I42" i="56"/>
  <c r="H42" i="56"/>
  <c r="G42" i="56"/>
  <c r="F42" i="56"/>
  <c r="E42" i="56"/>
  <c r="B42" i="56"/>
  <c r="J41" i="56"/>
  <c r="I41" i="56"/>
  <c r="H41" i="56"/>
  <c r="G41" i="56"/>
  <c r="F41" i="56"/>
  <c r="E41" i="56"/>
  <c r="B41" i="56"/>
  <c r="J40" i="56"/>
  <c r="I40" i="56"/>
  <c r="H40" i="56"/>
  <c r="G40" i="56"/>
  <c r="F40" i="56"/>
  <c r="E40" i="56"/>
  <c r="B40" i="56"/>
  <c r="J39" i="56"/>
  <c r="I39" i="56"/>
  <c r="H39" i="56"/>
  <c r="G39" i="56"/>
  <c r="F39" i="56"/>
  <c r="E39" i="56"/>
  <c r="B39" i="56"/>
  <c r="J38" i="56"/>
  <c r="I38" i="56"/>
  <c r="H38" i="56"/>
  <c r="G38" i="56"/>
  <c r="F38" i="56"/>
  <c r="E38" i="56"/>
  <c r="B38" i="56"/>
  <c r="J37" i="56"/>
  <c r="I37" i="56"/>
  <c r="H37" i="56"/>
  <c r="G37" i="56"/>
  <c r="F37" i="56"/>
  <c r="E37" i="56"/>
  <c r="B37" i="56"/>
  <c r="J36" i="56"/>
  <c r="I36" i="56"/>
  <c r="H36" i="56"/>
  <c r="G36" i="56"/>
  <c r="F36" i="56"/>
  <c r="E36" i="56"/>
  <c r="B36" i="56"/>
  <c r="J35" i="56"/>
  <c r="I35" i="56"/>
  <c r="H35" i="56"/>
  <c r="G35" i="56"/>
  <c r="F35" i="56"/>
  <c r="E35" i="56"/>
  <c r="B35" i="56"/>
  <c r="J34" i="56"/>
  <c r="I34" i="56"/>
  <c r="H34" i="56"/>
  <c r="G34" i="56"/>
  <c r="F34" i="56"/>
  <c r="E34" i="56"/>
  <c r="B34" i="56"/>
  <c r="J33" i="56"/>
  <c r="I33" i="56"/>
  <c r="H33" i="56"/>
  <c r="G33" i="56"/>
  <c r="F33" i="56"/>
  <c r="E33" i="56"/>
  <c r="B33" i="56"/>
  <c r="J32" i="56"/>
  <c r="I32" i="56"/>
  <c r="H32" i="56"/>
  <c r="G32" i="56"/>
  <c r="F32" i="56"/>
  <c r="E32" i="56"/>
  <c r="B32" i="56"/>
  <c r="J31" i="56"/>
  <c r="I31" i="56"/>
  <c r="H31" i="56"/>
  <c r="G31" i="56"/>
  <c r="F31" i="56"/>
  <c r="E31" i="56"/>
  <c r="B31" i="56"/>
  <c r="J30" i="56"/>
  <c r="I30" i="56"/>
  <c r="H30" i="56"/>
  <c r="G30" i="56"/>
  <c r="F30" i="56"/>
  <c r="E30" i="56"/>
  <c r="B30" i="56"/>
  <c r="J29" i="56"/>
  <c r="I29" i="56"/>
  <c r="H29" i="56"/>
  <c r="J28" i="56"/>
  <c r="I28" i="56"/>
  <c r="H28" i="56"/>
  <c r="G28" i="56"/>
  <c r="F28" i="56"/>
  <c r="E28" i="56"/>
  <c r="B28" i="56"/>
  <c r="J27" i="56"/>
  <c r="I27" i="56"/>
  <c r="H27" i="56"/>
  <c r="J26" i="56"/>
  <c r="I26" i="56"/>
  <c r="H26" i="56"/>
  <c r="J22" i="56"/>
  <c r="I22" i="56"/>
  <c r="H22" i="56"/>
  <c r="G22" i="56"/>
  <c r="F22" i="56"/>
  <c r="E22" i="56"/>
  <c r="B22" i="56"/>
  <c r="J21" i="56"/>
  <c r="I21" i="56"/>
  <c r="H21" i="56"/>
  <c r="G21" i="56"/>
  <c r="F21" i="56"/>
  <c r="E21" i="56"/>
  <c r="B21" i="56"/>
  <c r="J20" i="56"/>
  <c r="I20" i="56"/>
  <c r="H20" i="56"/>
  <c r="G20" i="56"/>
  <c r="F20" i="56"/>
  <c r="E20" i="56"/>
  <c r="B20" i="56"/>
  <c r="J19" i="56"/>
  <c r="I19" i="56"/>
  <c r="H19" i="56"/>
  <c r="G19" i="56"/>
  <c r="F19" i="56"/>
  <c r="E19" i="56"/>
  <c r="B19" i="56"/>
  <c r="J18" i="56"/>
  <c r="I18" i="56"/>
  <c r="H18" i="56"/>
  <c r="G18" i="56"/>
  <c r="F18" i="56"/>
  <c r="E18" i="56"/>
  <c r="B18" i="56"/>
  <c r="J17" i="56"/>
  <c r="I17" i="56"/>
  <c r="H17" i="56"/>
  <c r="G17" i="56"/>
  <c r="F17" i="56"/>
  <c r="E17" i="56"/>
  <c r="B17" i="56"/>
  <c r="J16" i="56"/>
  <c r="I16" i="56"/>
  <c r="H16" i="56"/>
  <c r="G16" i="56"/>
  <c r="F16" i="56"/>
  <c r="E16" i="56"/>
  <c r="B16" i="56"/>
  <c r="J15" i="56"/>
  <c r="I15" i="56"/>
  <c r="H15" i="56"/>
  <c r="G15" i="56"/>
  <c r="F15" i="56"/>
  <c r="E15" i="56"/>
  <c r="B15" i="56"/>
  <c r="J14" i="56"/>
  <c r="I14" i="56"/>
  <c r="H14" i="56"/>
  <c r="G14" i="56"/>
  <c r="F14" i="56"/>
  <c r="E14" i="56"/>
  <c r="B14" i="56"/>
  <c r="J13" i="56"/>
  <c r="I13" i="56"/>
  <c r="H13" i="56"/>
  <c r="G13" i="56"/>
  <c r="F13" i="56"/>
  <c r="E13" i="56"/>
  <c r="B13" i="56"/>
  <c r="J12" i="56"/>
  <c r="I12" i="56"/>
  <c r="H12" i="56"/>
  <c r="G12" i="56"/>
  <c r="F12" i="56"/>
  <c r="E12" i="56"/>
  <c r="B12" i="56"/>
  <c r="J11" i="56"/>
  <c r="I11" i="56"/>
  <c r="H11" i="56"/>
  <c r="G11" i="56"/>
  <c r="F11" i="56"/>
  <c r="E11" i="56"/>
  <c r="B11" i="56"/>
  <c r="J10" i="56"/>
  <c r="I10" i="56"/>
  <c r="H10" i="56"/>
  <c r="G10" i="56"/>
  <c r="F10" i="56"/>
  <c r="E10" i="56"/>
  <c r="B10" i="56"/>
  <c r="J9" i="56"/>
  <c r="I9" i="56"/>
  <c r="H9" i="56"/>
  <c r="G9" i="56"/>
  <c r="F9" i="56"/>
  <c r="E9" i="56"/>
  <c r="B9" i="56"/>
  <c r="J8" i="56"/>
  <c r="I8" i="56"/>
  <c r="H8" i="56"/>
  <c r="G8" i="56"/>
  <c r="F8" i="56"/>
  <c r="E8" i="56"/>
  <c r="B8" i="56"/>
  <c r="J7" i="56"/>
  <c r="I7" i="56"/>
  <c r="H7" i="56"/>
  <c r="J6" i="56"/>
  <c r="I6" i="56"/>
  <c r="H6" i="56"/>
  <c r="J5" i="56"/>
  <c r="I5" i="56"/>
  <c r="H5" i="56"/>
  <c r="H107" i="56" l="1"/>
  <c r="G152" i="57"/>
  <c r="F152" i="57"/>
  <c r="I86" i="56"/>
  <c r="E152" i="57"/>
  <c r="L152" i="57" s="1"/>
  <c r="J152" i="57"/>
  <c r="I23" i="56"/>
  <c r="E149" i="56"/>
  <c r="G149" i="56"/>
  <c r="J86" i="56"/>
  <c r="I107" i="56"/>
  <c r="J23" i="56"/>
  <c r="H86" i="56"/>
  <c r="J107" i="56"/>
  <c r="F128" i="56"/>
  <c r="H149" i="56"/>
  <c r="J44" i="56"/>
  <c r="I65" i="56"/>
  <c r="G128" i="56"/>
  <c r="J128" i="56"/>
  <c r="I149" i="56"/>
  <c r="H65" i="56"/>
  <c r="H128" i="56"/>
  <c r="I128" i="56"/>
  <c r="J149" i="56"/>
  <c r="E128" i="56"/>
  <c r="I44" i="56"/>
  <c r="H23" i="56"/>
  <c r="H44" i="56"/>
  <c r="J65" i="56"/>
  <c r="F149" i="56"/>
  <c r="M152" i="57" l="1"/>
  <c r="I152" i="56"/>
  <c r="H152" i="56"/>
  <c r="J152" i="56"/>
  <c r="G14" i="2" l="1"/>
  <c r="J149" i="2"/>
  <c r="I149" i="2"/>
  <c r="H149" i="2"/>
  <c r="G149" i="2"/>
  <c r="F149" i="2"/>
  <c r="E149" i="2"/>
  <c r="J148" i="2"/>
  <c r="I148" i="2"/>
  <c r="H148" i="2"/>
  <c r="G148" i="2"/>
  <c r="F148" i="2"/>
  <c r="E148" i="2"/>
  <c r="J147" i="2"/>
  <c r="I147" i="2"/>
  <c r="H147" i="2"/>
  <c r="G147" i="2"/>
  <c r="F147" i="2"/>
  <c r="E147" i="2"/>
  <c r="J146" i="2"/>
  <c r="I146" i="2"/>
  <c r="H146" i="2"/>
  <c r="G146" i="2"/>
  <c r="F146" i="2"/>
  <c r="E146" i="2"/>
  <c r="J145" i="2"/>
  <c r="I145" i="2"/>
  <c r="H145" i="2"/>
  <c r="G145" i="2"/>
  <c r="F145" i="2"/>
  <c r="E145" i="2"/>
  <c r="J144" i="2"/>
  <c r="I144" i="2"/>
  <c r="H144" i="2"/>
  <c r="G144" i="2"/>
  <c r="F144" i="2"/>
  <c r="E144" i="2"/>
  <c r="J143" i="2"/>
  <c r="I143" i="2"/>
  <c r="H143" i="2"/>
  <c r="G143" i="2"/>
  <c r="F143" i="2"/>
  <c r="E143" i="2"/>
  <c r="J142" i="2"/>
  <c r="I142" i="2"/>
  <c r="H142" i="2"/>
  <c r="G142" i="2"/>
  <c r="F142" i="2"/>
  <c r="E142" i="2"/>
  <c r="J141" i="2"/>
  <c r="I141" i="2"/>
  <c r="H141" i="2"/>
  <c r="G141" i="2"/>
  <c r="F141" i="2"/>
  <c r="E141" i="2"/>
  <c r="J140" i="2"/>
  <c r="I140" i="2"/>
  <c r="H140" i="2"/>
  <c r="G140" i="2"/>
  <c r="F140" i="2"/>
  <c r="E140" i="2"/>
  <c r="J139" i="2"/>
  <c r="I139" i="2"/>
  <c r="H139" i="2"/>
  <c r="G139" i="2"/>
  <c r="F139" i="2"/>
  <c r="E139" i="2"/>
  <c r="J138" i="2"/>
  <c r="I138" i="2"/>
  <c r="H138" i="2"/>
  <c r="G138" i="2"/>
  <c r="F138" i="2"/>
  <c r="E138" i="2"/>
  <c r="J137" i="2"/>
  <c r="I137" i="2"/>
  <c r="H137" i="2"/>
  <c r="G137" i="2"/>
  <c r="F137" i="2"/>
  <c r="E137" i="2"/>
  <c r="J136" i="2"/>
  <c r="I136" i="2"/>
  <c r="H136" i="2"/>
  <c r="G136" i="2"/>
  <c r="F136" i="2"/>
  <c r="E136" i="2"/>
  <c r="J135" i="2"/>
  <c r="I135" i="2"/>
  <c r="H135" i="2"/>
  <c r="G135" i="2"/>
  <c r="F135" i="2"/>
  <c r="E135" i="2"/>
  <c r="J134" i="2"/>
  <c r="I134" i="2"/>
  <c r="H134" i="2"/>
  <c r="G134" i="2"/>
  <c r="F134" i="2"/>
  <c r="E134" i="2"/>
  <c r="J133" i="2"/>
  <c r="I133" i="2"/>
  <c r="H133" i="2"/>
  <c r="G133" i="2"/>
  <c r="F133" i="2"/>
  <c r="E133" i="2"/>
  <c r="J132" i="2"/>
  <c r="J150" i="2" s="1"/>
  <c r="I132" i="2"/>
  <c r="I150" i="2" s="1"/>
  <c r="H132" i="2"/>
  <c r="H150" i="2" s="1"/>
  <c r="G132" i="2"/>
  <c r="F132" i="2"/>
  <c r="E132" i="2"/>
  <c r="J128" i="2"/>
  <c r="I128" i="2"/>
  <c r="H128" i="2"/>
  <c r="G128" i="2"/>
  <c r="F128" i="2"/>
  <c r="E128" i="2"/>
  <c r="J127" i="2"/>
  <c r="I127" i="2"/>
  <c r="H127" i="2"/>
  <c r="G127" i="2"/>
  <c r="F127" i="2"/>
  <c r="E127" i="2"/>
  <c r="J126" i="2"/>
  <c r="I126" i="2"/>
  <c r="H126" i="2"/>
  <c r="G126" i="2"/>
  <c r="F126" i="2"/>
  <c r="E126" i="2"/>
  <c r="J125" i="2"/>
  <c r="I125" i="2"/>
  <c r="H125" i="2"/>
  <c r="G125" i="2"/>
  <c r="F125" i="2"/>
  <c r="E125" i="2"/>
  <c r="J124" i="2"/>
  <c r="I124" i="2"/>
  <c r="H124" i="2"/>
  <c r="G124" i="2"/>
  <c r="F124" i="2"/>
  <c r="E124" i="2"/>
  <c r="J123" i="2"/>
  <c r="I123" i="2"/>
  <c r="H123" i="2"/>
  <c r="G123" i="2"/>
  <c r="F123" i="2"/>
  <c r="E123" i="2"/>
  <c r="J122" i="2"/>
  <c r="I122" i="2"/>
  <c r="H122" i="2"/>
  <c r="G122" i="2"/>
  <c r="F122" i="2"/>
  <c r="E122" i="2"/>
  <c r="J121" i="2"/>
  <c r="I121" i="2"/>
  <c r="H121" i="2"/>
  <c r="G121" i="2"/>
  <c r="F121" i="2"/>
  <c r="E121" i="2"/>
  <c r="J120" i="2"/>
  <c r="I120" i="2"/>
  <c r="H120" i="2"/>
  <c r="G120" i="2"/>
  <c r="F120" i="2"/>
  <c r="E120" i="2"/>
  <c r="J119" i="2"/>
  <c r="I119" i="2"/>
  <c r="H119" i="2"/>
  <c r="G119" i="2"/>
  <c r="F119" i="2"/>
  <c r="E119" i="2"/>
  <c r="J118" i="2"/>
  <c r="I118" i="2"/>
  <c r="H118" i="2"/>
  <c r="G118" i="2"/>
  <c r="F118" i="2"/>
  <c r="E118" i="2"/>
  <c r="J117" i="2"/>
  <c r="I117" i="2"/>
  <c r="H117" i="2"/>
  <c r="G117" i="2"/>
  <c r="F117" i="2"/>
  <c r="E117" i="2"/>
  <c r="J116" i="2"/>
  <c r="I116" i="2"/>
  <c r="H116" i="2"/>
  <c r="G116" i="2"/>
  <c r="F116" i="2"/>
  <c r="E116" i="2"/>
  <c r="J115" i="2"/>
  <c r="I115" i="2"/>
  <c r="H115" i="2"/>
  <c r="G115" i="2"/>
  <c r="F115" i="2"/>
  <c r="E115" i="2"/>
  <c r="J114" i="2"/>
  <c r="I114" i="2"/>
  <c r="H114" i="2"/>
  <c r="G114" i="2"/>
  <c r="F114" i="2"/>
  <c r="E114" i="2"/>
  <c r="J113" i="2"/>
  <c r="I113" i="2"/>
  <c r="H113" i="2"/>
  <c r="G113" i="2"/>
  <c r="F113" i="2"/>
  <c r="E113" i="2"/>
  <c r="J112" i="2"/>
  <c r="I112" i="2"/>
  <c r="H112" i="2"/>
  <c r="G112" i="2"/>
  <c r="F112" i="2"/>
  <c r="E112" i="2"/>
  <c r="J111" i="2"/>
  <c r="J129" i="2" s="1"/>
  <c r="I111" i="2"/>
  <c r="I129" i="2" s="1"/>
  <c r="H111" i="2"/>
  <c r="H129" i="2" s="1"/>
  <c r="G111" i="2"/>
  <c r="F111" i="2"/>
  <c r="E111" i="2"/>
  <c r="J107" i="2"/>
  <c r="I107" i="2"/>
  <c r="H107" i="2"/>
  <c r="G107" i="2"/>
  <c r="F107" i="2"/>
  <c r="E107" i="2"/>
  <c r="J106" i="2"/>
  <c r="I106" i="2"/>
  <c r="H106" i="2"/>
  <c r="G106" i="2"/>
  <c r="F106" i="2"/>
  <c r="E106" i="2"/>
  <c r="J105" i="2"/>
  <c r="I105" i="2"/>
  <c r="H105" i="2"/>
  <c r="G105" i="2"/>
  <c r="F105" i="2"/>
  <c r="E105" i="2"/>
  <c r="J104" i="2"/>
  <c r="I104" i="2"/>
  <c r="H104" i="2"/>
  <c r="G104" i="2"/>
  <c r="F104" i="2"/>
  <c r="E104" i="2"/>
  <c r="J103" i="2"/>
  <c r="I103" i="2"/>
  <c r="H103" i="2"/>
  <c r="G103" i="2"/>
  <c r="F103" i="2"/>
  <c r="E103" i="2"/>
  <c r="J102" i="2"/>
  <c r="I102" i="2"/>
  <c r="H102" i="2"/>
  <c r="G102" i="2"/>
  <c r="F102" i="2"/>
  <c r="E102" i="2"/>
  <c r="J101" i="2"/>
  <c r="I101" i="2"/>
  <c r="H101" i="2"/>
  <c r="G101" i="2"/>
  <c r="F101" i="2"/>
  <c r="E101" i="2"/>
  <c r="J100" i="2"/>
  <c r="I100" i="2"/>
  <c r="H100" i="2"/>
  <c r="G100" i="2"/>
  <c r="F100" i="2"/>
  <c r="E100" i="2"/>
  <c r="J99" i="2"/>
  <c r="I99" i="2"/>
  <c r="H99" i="2"/>
  <c r="G99" i="2"/>
  <c r="F99" i="2"/>
  <c r="E99" i="2"/>
  <c r="J98" i="2"/>
  <c r="I98" i="2"/>
  <c r="H98" i="2"/>
  <c r="G98" i="2"/>
  <c r="F98" i="2"/>
  <c r="E98" i="2"/>
  <c r="J97" i="2"/>
  <c r="I97" i="2"/>
  <c r="H97" i="2"/>
  <c r="G97" i="2"/>
  <c r="F97" i="2"/>
  <c r="E97" i="2"/>
  <c r="J96" i="2"/>
  <c r="I96" i="2"/>
  <c r="H96" i="2"/>
  <c r="G96" i="2"/>
  <c r="F96" i="2"/>
  <c r="E96" i="2"/>
  <c r="J95" i="2"/>
  <c r="I95" i="2"/>
  <c r="H95" i="2"/>
  <c r="G95" i="2"/>
  <c r="F95" i="2"/>
  <c r="E95" i="2"/>
  <c r="J94" i="2"/>
  <c r="I94" i="2"/>
  <c r="H94" i="2"/>
  <c r="G94" i="2"/>
  <c r="F94" i="2"/>
  <c r="E94" i="2"/>
  <c r="J93" i="2"/>
  <c r="I93" i="2"/>
  <c r="H93" i="2"/>
  <c r="G93" i="2"/>
  <c r="F93" i="2"/>
  <c r="E93" i="2"/>
  <c r="J92" i="2"/>
  <c r="I92" i="2"/>
  <c r="H92" i="2"/>
  <c r="G92" i="2"/>
  <c r="F92" i="2"/>
  <c r="E92" i="2"/>
  <c r="J91" i="2"/>
  <c r="I91" i="2"/>
  <c r="I108" i="2" s="1"/>
  <c r="H91" i="2"/>
  <c r="G91" i="2"/>
  <c r="F91" i="2"/>
  <c r="E91" i="2"/>
  <c r="J90" i="2"/>
  <c r="J108" i="2" s="1"/>
  <c r="I90" i="2"/>
  <c r="H90" i="2"/>
  <c r="H108" i="2" s="1"/>
  <c r="G90" i="2"/>
  <c r="F90" i="2"/>
  <c r="E90" i="2"/>
  <c r="J86" i="2"/>
  <c r="I86" i="2"/>
  <c r="H86" i="2"/>
  <c r="G86" i="2"/>
  <c r="F86" i="2"/>
  <c r="E86" i="2"/>
  <c r="J85" i="2"/>
  <c r="I85" i="2"/>
  <c r="H85" i="2"/>
  <c r="G85" i="2"/>
  <c r="F85" i="2"/>
  <c r="E85" i="2"/>
  <c r="J84" i="2"/>
  <c r="I84" i="2"/>
  <c r="H84" i="2"/>
  <c r="G84" i="2"/>
  <c r="F84" i="2"/>
  <c r="E84" i="2"/>
  <c r="J83" i="2"/>
  <c r="I83" i="2"/>
  <c r="H83" i="2"/>
  <c r="G83" i="2"/>
  <c r="F83" i="2"/>
  <c r="E83" i="2"/>
  <c r="J82" i="2"/>
  <c r="I82" i="2"/>
  <c r="H82" i="2"/>
  <c r="G82" i="2"/>
  <c r="F82" i="2"/>
  <c r="E82" i="2"/>
  <c r="J81" i="2"/>
  <c r="I81" i="2"/>
  <c r="H81" i="2"/>
  <c r="G81" i="2"/>
  <c r="F81" i="2"/>
  <c r="E81" i="2"/>
  <c r="J80" i="2"/>
  <c r="I80" i="2"/>
  <c r="H80" i="2"/>
  <c r="G80" i="2"/>
  <c r="F80" i="2"/>
  <c r="E80" i="2"/>
  <c r="J79" i="2"/>
  <c r="I79" i="2"/>
  <c r="H79" i="2"/>
  <c r="G79" i="2"/>
  <c r="F79" i="2"/>
  <c r="E79" i="2"/>
  <c r="J78" i="2"/>
  <c r="I78" i="2"/>
  <c r="H78" i="2"/>
  <c r="G78" i="2"/>
  <c r="F78" i="2"/>
  <c r="E78" i="2"/>
  <c r="J77" i="2"/>
  <c r="I77" i="2"/>
  <c r="H77" i="2"/>
  <c r="G77" i="2"/>
  <c r="F77" i="2"/>
  <c r="E77" i="2"/>
  <c r="J76" i="2"/>
  <c r="I76" i="2"/>
  <c r="H76" i="2"/>
  <c r="G76" i="2"/>
  <c r="F76" i="2"/>
  <c r="E76" i="2"/>
  <c r="J75" i="2"/>
  <c r="I75" i="2"/>
  <c r="H75" i="2"/>
  <c r="G75" i="2"/>
  <c r="F75" i="2"/>
  <c r="E75" i="2"/>
  <c r="J74" i="2"/>
  <c r="I74" i="2"/>
  <c r="H74" i="2"/>
  <c r="G74" i="2"/>
  <c r="F74" i="2"/>
  <c r="E74" i="2"/>
  <c r="J73" i="2"/>
  <c r="I73" i="2"/>
  <c r="H73" i="2"/>
  <c r="G73" i="2"/>
  <c r="F73" i="2"/>
  <c r="E73" i="2"/>
  <c r="J72" i="2"/>
  <c r="I72" i="2"/>
  <c r="H72" i="2"/>
  <c r="G72" i="2"/>
  <c r="F72" i="2"/>
  <c r="E72" i="2"/>
  <c r="J71" i="2"/>
  <c r="I71" i="2"/>
  <c r="H71" i="2"/>
  <c r="G71" i="2"/>
  <c r="F71" i="2"/>
  <c r="E71" i="2"/>
  <c r="J70" i="2"/>
  <c r="I70" i="2"/>
  <c r="H70" i="2"/>
  <c r="G70" i="2"/>
  <c r="F70" i="2"/>
  <c r="E70" i="2"/>
  <c r="J69" i="2"/>
  <c r="J87" i="2" s="1"/>
  <c r="I69" i="2"/>
  <c r="I87" i="2" s="1"/>
  <c r="H69" i="2"/>
  <c r="H87" i="2" s="1"/>
  <c r="G69" i="2"/>
  <c r="F69" i="2"/>
  <c r="E69" i="2"/>
  <c r="J65" i="2"/>
  <c r="I65" i="2"/>
  <c r="H65" i="2"/>
  <c r="G65" i="2"/>
  <c r="F65" i="2"/>
  <c r="E65" i="2"/>
  <c r="J64" i="2"/>
  <c r="I64" i="2"/>
  <c r="H64" i="2"/>
  <c r="G64" i="2"/>
  <c r="F64" i="2"/>
  <c r="E64" i="2"/>
  <c r="J63" i="2"/>
  <c r="I63" i="2"/>
  <c r="H63" i="2"/>
  <c r="G63" i="2"/>
  <c r="F63" i="2"/>
  <c r="E63" i="2"/>
  <c r="J62" i="2"/>
  <c r="I62" i="2"/>
  <c r="H62" i="2"/>
  <c r="G62" i="2"/>
  <c r="F62" i="2"/>
  <c r="E62" i="2"/>
  <c r="J61" i="2"/>
  <c r="I61" i="2"/>
  <c r="H61" i="2"/>
  <c r="G61" i="2"/>
  <c r="F61" i="2"/>
  <c r="E61" i="2"/>
  <c r="J60" i="2"/>
  <c r="I60" i="2"/>
  <c r="H60" i="2"/>
  <c r="G60" i="2"/>
  <c r="F60" i="2"/>
  <c r="E60" i="2"/>
  <c r="J59" i="2"/>
  <c r="I59" i="2"/>
  <c r="H59" i="2"/>
  <c r="G59" i="2"/>
  <c r="F59" i="2"/>
  <c r="E59" i="2"/>
  <c r="J58" i="2"/>
  <c r="I58" i="2"/>
  <c r="H58" i="2"/>
  <c r="G58" i="2"/>
  <c r="F58" i="2"/>
  <c r="E58" i="2"/>
  <c r="J57" i="2"/>
  <c r="I57" i="2"/>
  <c r="H57" i="2"/>
  <c r="G57" i="2"/>
  <c r="F57" i="2"/>
  <c r="E57" i="2"/>
  <c r="J56" i="2"/>
  <c r="I56" i="2"/>
  <c r="H56" i="2"/>
  <c r="G56" i="2"/>
  <c r="F56" i="2"/>
  <c r="E56" i="2"/>
  <c r="J55" i="2"/>
  <c r="I55" i="2"/>
  <c r="H55" i="2"/>
  <c r="G55" i="2"/>
  <c r="F55" i="2"/>
  <c r="E55" i="2"/>
  <c r="J54" i="2"/>
  <c r="I54" i="2"/>
  <c r="H54" i="2"/>
  <c r="G54" i="2"/>
  <c r="F54" i="2"/>
  <c r="E54" i="2"/>
  <c r="J53" i="2"/>
  <c r="I53" i="2"/>
  <c r="H53" i="2"/>
  <c r="G53" i="2"/>
  <c r="F53" i="2"/>
  <c r="E53" i="2"/>
  <c r="J52" i="2"/>
  <c r="I52" i="2"/>
  <c r="H52" i="2"/>
  <c r="G52" i="2"/>
  <c r="F52" i="2"/>
  <c r="E52" i="2"/>
  <c r="J51" i="2"/>
  <c r="I51" i="2"/>
  <c r="H51" i="2"/>
  <c r="G51" i="2"/>
  <c r="F51" i="2"/>
  <c r="E51" i="2"/>
  <c r="J50" i="2"/>
  <c r="I50" i="2"/>
  <c r="H50" i="2"/>
  <c r="G50" i="2"/>
  <c r="F50" i="2"/>
  <c r="E50" i="2"/>
  <c r="J49" i="2"/>
  <c r="I49" i="2"/>
  <c r="H49" i="2"/>
  <c r="G49" i="2"/>
  <c r="F49" i="2"/>
  <c r="E49" i="2"/>
  <c r="J48" i="2"/>
  <c r="J66" i="2" s="1"/>
  <c r="I48" i="2"/>
  <c r="I66" i="2" s="1"/>
  <c r="H48" i="2"/>
  <c r="H66" i="2" s="1"/>
  <c r="G48" i="2"/>
  <c r="F48" i="2"/>
  <c r="E48" i="2"/>
  <c r="H27" i="2"/>
  <c r="H35" i="2"/>
  <c r="J36" i="2"/>
  <c r="J44" i="2"/>
  <c r="I44" i="2"/>
  <c r="H44" i="2"/>
  <c r="G44" i="2"/>
  <c r="F44" i="2"/>
  <c r="E44" i="2"/>
  <c r="J43" i="2"/>
  <c r="I43" i="2"/>
  <c r="H43" i="2"/>
  <c r="G43" i="2"/>
  <c r="F43" i="2"/>
  <c r="E43" i="2"/>
  <c r="J42" i="2"/>
  <c r="I42" i="2"/>
  <c r="H42" i="2"/>
  <c r="G42" i="2"/>
  <c r="F42" i="2"/>
  <c r="E42" i="2"/>
  <c r="J41" i="2"/>
  <c r="I41" i="2"/>
  <c r="H41" i="2"/>
  <c r="G41" i="2"/>
  <c r="F41" i="2"/>
  <c r="E41" i="2"/>
  <c r="J40" i="2"/>
  <c r="I40" i="2"/>
  <c r="H40" i="2"/>
  <c r="G40" i="2"/>
  <c r="F40" i="2"/>
  <c r="E40" i="2"/>
  <c r="J39" i="2"/>
  <c r="I39" i="2"/>
  <c r="H39" i="2"/>
  <c r="G39" i="2"/>
  <c r="F39" i="2"/>
  <c r="E39" i="2"/>
  <c r="J38" i="2"/>
  <c r="I38" i="2"/>
  <c r="H38" i="2"/>
  <c r="G38" i="2"/>
  <c r="F38" i="2"/>
  <c r="E38" i="2"/>
  <c r="J37" i="2"/>
  <c r="I37" i="2"/>
  <c r="H37" i="2"/>
  <c r="G37" i="2"/>
  <c r="F37" i="2"/>
  <c r="E37" i="2"/>
  <c r="I36" i="2"/>
  <c r="H36" i="2"/>
  <c r="G36" i="2"/>
  <c r="F36" i="2"/>
  <c r="E36" i="2"/>
  <c r="J35" i="2"/>
  <c r="I35" i="2"/>
  <c r="G35" i="2"/>
  <c r="F35" i="2"/>
  <c r="E35" i="2"/>
  <c r="J34" i="2"/>
  <c r="I34" i="2"/>
  <c r="H34" i="2"/>
  <c r="G34" i="2"/>
  <c r="F34" i="2"/>
  <c r="E34" i="2"/>
  <c r="J33" i="2"/>
  <c r="I33" i="2"/>
  <c r="H33" i="2"/>
  <c r="G33" i="2"/>
  <c r="F33" i="2"/>
  <c r="E33" i="2"/>
  <c r="J32" i="2"/>
  <c r="I32" i="2"/>
  <c r="H32" i="2"/>
  <c r="G32" i="2"/>
  <c r="F32" i="2"/>
  <c r="E32" i="2"/>
  <c r="J31" i="2"/>
  <c r="I31" i="2"/>
  <c r="H31" i="2"/>
  <c r="G31" i="2"/>
  <c r="F31" i="2"/>
  <c r="E31" i="2"/>
  <c r="J30" i="2"/>
  <c r="I30" i="2"/>
  <c r="H30" i="2"/>
  <c r="G30" i="2"/>
  <c r="F30" i="2"/>
  <c r="E30" i="2"/>
  <c r="J29" i="2"/>
  <c r="I29" i="2"/>
  <c r="H29" i="2"/>
  <c r="G29" i="2"/>
  <c r="F29" i="2"/>
  <c r="E29" i="2"/>
  <c r="J28" i="2"/>
  <c r="I28" i="2"/>
  <c r="H28" i="2"/>
  <c r="G28" i="2"/>
  <c r="F28" i="2"/>
  <c r="E28" i="2"/>
  <c r="J27" i="2"/>
  <c r="J45" i="2" s="1"/>
  <c r="I27" i="2"/>
  <c r="I45" i="2" s="1"/>
  <c r="G27" i="2"/>
  <c r="F27" i="2"/>
  <c r="E27" i="2"/>
  <c r="F14" i="2"/>
  <c r="F15" i="2"/>
  <c r="F16" i="2"/>
  <c r="F17" i="2"/>
  <c r="F18" i="2"/>
  <c r="F19" i="2"/>
  <c r="F20" i="2"/>
  <c r="F21" i="2"/>
  <c r="F22" i="2"/>
  <c r="F23" i="2"/>
  <c r="G23" i="2"/>
  <c r="G22" i="2"/>
  <c r="G21" i="2"/>
  <c r="G20" i="2"/>
  <c r="G19" i="2"/>
  <c r="G18" i="2"/>
  <c r="G17" i="2"/>
  <c r="G16" i="2"/>
  <c r="G15" i="2"/>
  <c r="E14" i="2"/>
  <c r="E15" i="2"/>
  <c r="E16" i="2"/>
  <c r="E17" i="2"/>
  <c r="E18" i="2"/>
  <c r="E19" i="2"/>
  <c r="E20" i="2"/>
  <c r="E21" i="2"/>
  <c r="E22" i="2"/>
  <c r="E23" i="2"/>
  <c r="I6" i="2"/>
  <c r="J6" i="2"/>
  <c r="H6" i="2"/>
  <c r="E45" i="2" l="1"/>
  <c r="F87" i="2"/>
  <c r="F108" i="2"/>
  <c r="F129" i="2"/>
  <c r="F45" i="2"/>
  <c r="G45" i="2"/>
  <c r="E66" i="2"/>
  <c r="E108" i="2"/>
  <c r="E129" i="2"/>
  <c r="E150" i="2"/>
  <c r="G87" i="2"/>
  <c r="G129" i="2"/>
  <c r="F66" i="2"/>
  <c r="F150" i="2"/>
  <c r="G66" i="2"/>
  <c r="G108" i="2"/>
  <c r="G150" i="2"/>
  <c r="E87" i="2"/>
  <c r="H45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11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14" i="2"/>
  <c r="B15" i="2"/>
  <c r="B16" i="2"/>
  <c r="B17" i="2"/>
  <c r="B18" i="2"/>
  <c r="B19" i="2"/>
  <c r="B20" i="2"/>
  <c r="B21" i="2"/>
  <c r="B22" i="2"/>
  <c r="B23" i="2"/>
  <c r="B4" i="4" l="1" a="1"/>
  <c r="B4" i="4" s="1"/>
  <c r="B5" i="4" l="1" a="1"/>
  <c r="B5" i="4" s="1"/>
  <c r="B14" i="4" a="1"/>
  <c r="B14" i="4" s="1"/>
  <c r="C14" i="4" a="1"/>
  <c r="C14" i="4" s="1"/>
  <c r="D14" i="4" a="1"/>
  <c r="D14" i="4" s="1"/>
  <c r="E14" i="4" a="1"/>
  <c r="E14" i="4" s="1"/>
  <c r="F14" i="4" a="1"/>
  <c r="F14" i="4" s="1"/>
  <c r="B15" i="4" a="1"/>
  <c r="B15" i="4" s="1"/>
  <c r="C15" i="4" a="1"/>
  <c r="C15" i="4" s="1"/>
  <c r="D15" i="4" a="1"/>
  <c r="D15" i="4" s="1"/>
  <c r="E15" i="4" a="1"/>
  <c r="E15" i="4" s="1"/>
  <c r="F15" i="4" a="1"/>
  <c r="F15" i="4" s="1"/>
  <c r="B16" i="4" a="1"/>
  <c r="B16" i="4" s="1"/>
  <c r="C16" i="4" a="1"/>
  <c r="C16" i="4" s="1"/>
  <c r="D16" i="4" a="1"/>
  <c r="D16" i="4" s="1"/>
  <c r="E16" i="4" a="1"/>
  <c r="E16" i="4" s="1"/>
  <c r="F16" i="4" a="1"/>
  <c r="F16" i="4" s="1"/>
  <c r="B17" i="4" a="1"/>
  <c r="B17" i="4" s="1"/>
  <c r="C17" i="4" a="1"/>
  <c r="C17" i="4" s="1"/>
  <c r="D17" i="4" a="1"/>
  <c r="D17" i="4" s="1"/>
  <c r="E17" i="4" a="1"/>
  <c r="E17" i="4" s="1"/>
  <c r="F17" i="4" a="1"/>
  <c r="F17" i="4" s="1"/>
  <c r="B18" i="4" a="1"/>
  <c r="B18" i="4" s="1"/>
  <c r="C18" i="4" a="1"/>
  <c r="C18" i="4" s="1"/>
  <c r="D18" i="4" a="1"/>
  <c r="D18" i="4" s="1"/>
  <c r="E18" i="4" a="1"/>
  <c r="E18" i="4" s="1"/>
  <c r="F18" i="4" a="1"/>
  <c r="F18" i="4" s="1"/>
  <c r="B19" i="4" a="1"/>
  <c r="B19" i="4" s="1"/>
  <c r="C19" i="4" a="1"/>
  <c r="C19" i="4" s="1"/>
  <c r="D19" i="4" a="1"/>
  <c r="D19" i="4" s="1"/>
  <c r="E19" i="4" a="1"/>
  <c r="E19" i="4" s="1"/>
  <c r="F19" i="4" a="1"/>
  <c r="F19" i="4" s="1"/>
  <c r="B20" i="4" a="1"/>
  <c r="B20" i="4" s="1"/>
  <c r="C20" i="4" a="1"/>
  <c r="C20" i="4" s="1"/>
  <c r="D20" i="4" a="1"/>
  <c r="D20" i="4" s="1"/>
  <c r="E20" i="4" a="1"/>
  <c r="E20" i="4" s="1"/>
  <c r="F20" i="4" a="1"/>
  <c r="F20" i="4" s="1"/>
  <c r="B21" i="4" a="1"/>
  <c r="B21" i="4" s="1"/>
  <c r="C21" i="4" a="1"/>
  <c r="C21" i="4" s="1"/>
  <c r="D21" i="4" a="1"/>
  <c r="D21" i="4" s="1"/>
  <c r="E21" i="4" a="1"/>
  <c r="E21" i="4" s="1"/>
  <c r="F21" i="4" a="1"/>
  <c r="F21" i="4" s="1"/>
  <c r="B22" i="4" a="1"/>
  <c r="B22" i="4" s="1"/>
  <c r="C22" i="4" a="1"/>
  <c r="C22" i="4" s="1"/>
  <c r="D22" i="4" a="1"/>
  <c r="D22" i="4" s="1"/>
  <c r="E22" i="4" a="1"/>
  <c r="E22" i="4" s="1"/>
  <c r="F22" i="4" a="1"/>
  <c r="F22" i="4" s="1"/>
  <c r="B23" i="4" a="1"/>
  <c r="B23" i="4" s="1"/>
  <c r="C23" i="4" a="1"/>
  <c r="C23" i="4" s="1"/>
  <c r="D23" i="4" a="1"/>
  <c r="D23" i="4" s="1"/>
  <c r="E23" i="4" a="1"/>
  <c r="E23" i="4" s="1"/>
  <c r="F23" i="4" a="1"/>
  <c r="F23" i="4" s="1"/>
  <c r="B24" i="4" a="1"/>
  <c r="B24" i="4" s="1"/>
  <c r="C24" i="4" a="1"/>
  <c r="C24" i="4" s="1"/>
  <c r="D24" i="4" a="1"/>
  <c r="D24" i="4" s="1"/>
  <c r="E24" i="4" a="1"/>
  <c r="E24" i="4" s="1"/>
  <c r="F24" i="4" a="1"/>
  <c r="F24" i="4" s="1"/>
  <c r="B25" i="4" a="1"/>
  <c r="B25" i="4" s="1"/>
  <c r="C25" i="4" a="1"/>
  <c r="C25" i="4" s="1"/>
  <c r="D25" i="4" a="1"/>
  <c r="D25" i="4" s="1"/>
  <c r="E25" i="4" a="1"/>
  <c r="E25" i="4" s="1"/>
  <c r="F25" i="4" a="1"/>
  <c r="F25" i="4" s="1"/>
  <c r="B26" i="4" a="1"/>
  <c r="B26" i="4" s="1"/>
  <c r="C26" i="4" a="1"/>
  <c r="C26" i="4" s="1"/>
  <c r="D26" i="4" a="1"/>
  <c r="D26" i="4" s="1"/>
  <c r="E26" i="4" a="1"/>
  <c r="E26" i="4" s="1"/>
  <c r="F26" i="4" a="1"/>
  <c r="F26" i="4" s="1"/>
  <c r="B27" i="4" a="1"/>
  <c r="B27" i="4" s="1"/>
  <c r="C27" i="4" a="1"/>
  <c r="C27" i="4" s="1"/>
  <c r="D27" i="4" a="1"/>
  <c r="D27" i="4" s="1"/>
  <c r="E27" i="4" a="1"/>
  <c r="E27" i="4" s="1"/>
  <c r="F27" i="4" a="1"/>
  <c r="F27" i="4" s="1"/>
  <c r="B28" i="4" a="1"/>
  <c r="B28" i="4" s="1"/>
  <c r="C28" i="4" a="1"/>
  <c r="C28" i="4" s="1"/>
  <c r="D28" i="4" a="1"/>
  <c r="D28" i="4" s="1"/>
  <c r="E28" i="4" a="1"/>
  <c r="E28" i="4" s="1"/>
  <c r="F28" i="4" a="1"/>
  <c r="F28" i="4" s="1"/>
  <c r="B29" i="4" a="1"/>
  <c r="B29" i="4" s="1"/>
  <c r="C29" i="4" a="1"/>
  <c r="C29" i="4" s="1"/>
  <c r="D29" i="4" a="1"/>
  <c r="D29" i="4" s="1"/>
  <c r="E29" i="4" a="1"/>
  <c r="E29" i="4" s="1"/>
  <c r="F29" i="4" a="1"/>
  <c r="F29" i="4" s="1"/>
  <c r="B30" i="4" a="1"/>
  <c r="B30" i="4" s="1"/>
  <c r="C30" i="4" a="1"/>
  <c r="C30" i="4" s="1"/>
  <c r="D30" i="4" a="1"/>
  <c r="D30" i="4" s="1"/>
  <c r="E30" i="4" a="1"/>
  <c r="E30" i="4" s="1"/>
  <c r="F30" i="4" a="1"/>
  <c r="F30" i="4" s="1"/>
  <c r="B31" i="4" a="1"/>
  <c r="B31" i="4" s="1"/>
  <c r="C31" i="4" a="1"/>
  <c r="C31" i="4" s="1"/>
  <c r="D31" i="4" a="1"/>
  <c r="D31" i="4" s="1"/>
  <c r="E31" i="4" a="1"/>
  <c r="E31" i="4" s="1"/>
  <c r="F31" i="4" a="1"/>
  <c r="F31" i="4" s="1"/>
  <c r="B32" i="4" a="1"/>
  <c r="B32" i="4" s="1"/>
  <c r="C32" i="4" a="1"/>
  <c r="C32" i="4" s="1"/>
  <c r="D32" i="4" a="1"/>
  <c r="D32" i="4" s="1"/>
  <c r="E32" i="4" a="1"/>
  <c r="E32" i="4" s="1"/>
  <c r="F32" i="4" a="1"/>
  <c r="F32" i="4" s="1"/>
  <c r="B33" i="4" a="1"/>
  <c r="B33" i="4" s="1"/>
  <c r="C33" i="4" a="1"/>
  <c r="C33" i="4" s="1"/>
  <c r="D33" i="4" a="1"/>
  <c r="D33" i="4" s="1"/>
  <c r="E33" i="4" a="1"/>
  <c r="E33" i="4" s="1"/>
  <c r="F33" i="4" a="1"/>
  <c r="F33" i="4" s="1"/>
  <c r="B34" i="4" a="1"/>
  <c r="B34" i="4" s="1"/>
  <c r="C34" i="4" a="1"/>
  <c r="C34" i="4" s="1"/>
  <c r="D34" i="4" a="1"/>
  <c r="D34" i="4" s="1"/>
  <c r="E34" i="4" a="1"/>
  <c r="E34" i="4" s="1"/>
  <c r="F34" i="4" a="1"/>
  <c r="F34" i="4" s="1"/>
  <c r="B35" i="4" a="1"/>
  <c r="B35" i="4" s="1"/>
  <c r="C35" i="4" a="1"/>
  <c r="C35" i="4" s="1"/>
  <c r="D35" i="4" a="1"/>
  <c r="D35" i="4" s="1"/>
  <c r="E35" i="4" a="1"/>
  <c r="E35" i="4" s="1"/>
  <c r="F35" i="4" a="1"/>
  <c r="F35" i="4" s="1"/>
  <c r="B36" i="4" a="1"/>
  <c r="B36" i="4" s="1"/>
  <c r="C36" i="4" a="1"/>
  <c r="C36" i="4" s="1"/>
  <c r="D36" i="4" a="1"/>
  <c r="D36" i="4" s="1"/>
  <c r="E36" i="4" a="1"/>
  <c r="E36" i="4" s="1"/>
  <c r="F36" i="4" a="1"/>
  <c r="F36" i="4" s="1"/>
  <c r="B37" i="4" a="1"/>
  <c r="B37" i="4" s="1"/>
  <c r="C37" i="4" a="1"/>
  <c r="C37" i="4" s="1"/>
  <c r="D37" i="4" a="1"/>
  <c r="D37" i="4" s="1"/>
  <c r="E37" i="4" a="1"/>
  <c r="E37" i="4" s="1"/>
  <c r="F37" i="4" a="1"/>
  <c r="F37" i="4" s="1"/>
  <c r="B38" i="4" a="1"/>
  <c r="B38" i="4" s="1"/>
  <c r="C38" i="4" a="1"/>
  <c r="C38" i="4" s="1"/>
  <c r="D38" i="4" a="1"/>
  <c r="D38" i="4" s="1"/>
  <c r="E38" i="4" a="1"/>
  <c r="E38" i="4" s="1"/>
  <c r="F38" i="4" a="1"/>
  <c r="F38" i="4" s="1"/>
  <c r="B39" i="4" a="1"/>
  <c r="B39" i="4" s="1"/>
  <c r="C39" i="4" a="1"/>
  <c r="C39" i="4" s="1"/>
  <c r="D39" i="4" a="1"/>
  <c r="D39" i="4" s="1"/>
  <c r="E39" i="4" a="1"/>
  <c r="E39" i="4" s="1"/>
  <c r="F39" i="4" a="1"/>
  <c r="F39" i="4" s="1"/>
  <c r="B40" i="4" a="1"/>
  <c r="B40" i="4" s="1"/>
  <c r="C40" i="4" a="1"/>
  <c r="C40" i="4" s="1"/>
  <c r="D40" i="4" a="1"/>
  <c r="D40" i="4" s="1"/>
  <c r="E40" i="4" a="1"/>
  <c r="E40" i="4" s="1"/>
  <c r="F40" i="4" a="1"/>
  <c r="F40" i="4" s="1"/>
  <c r="B41" i="4" a="1"/>
  <c r="B41" i="4" s="1"/>
  <c r="C41" i="4" a="1"/>
  <c r="C41" i="4" s="1"/>
  <c r="D41" i="4" a="1"/>
  <c r="D41" i="4" s="1"/>
  <c r="E41" i="4" a="1"/>
  <c r="E41" i="4" s="1"/>
  <c r="F41" i="4" a="1"/>
  <c r="F41" i="4" s="1"/>
  <c r="B42" i="4" a="1"/>
  <c r="B42" i="4" s="1"/>
  <c r="C42" i="4" a="1"/>
  <c r="C42" i="4" s="1"/>
  <c r="D42" i="4" a="1"/>
  <c r="D42" i="4" s="1"/>
  <c r="E42" i="4" a="1"/>
  <c r="E42" i="4" s="1"/>
  <c r="F42" i="4" a="1"/>
  <c r="F42" i="4" s="1"/>
  <c r="B43" i="4" a="1"/>
  <c r="B43" i="4" s="1"/>
  <c r="C43" i="4" a="1"/>
  <c r="C43" i="4" s="1"/>
  <c r="D43" i="4" a="1"/>
  <c r="D43" i="4" s="1"/>
  <c r="E43" i="4" a="1"/>
  <c r="E43" i="4" s="1"/>
  <c r="F43" i="4" a="1"/>
  <c r="F43" i="4" s="1"/>
  <c r="B44" i="4" a="1"/>
  <c r="B44" i="4" s="1"/>
  <c r="C44" i="4" a="1"/>
  <c r="C44" i="4" s="1"/>
  <c r="D44" i="4" a="1"/>
  <c r="D44" i="4" s="1"/>
  <c r="E44" i="4" a="1"/>
  <c r="E44" i="4" s="1"/>
  <c r="F44" i="4" a="1"/>
  <c r="F44" i="4" s="1"/>
  <c r="B45" i="4" a="1"/>
  <c r="B45" i="4" s="1"/>
  <c r="C45" i="4" a="1"/>
  <c r="C45" i="4" s="1"/>
  <c r="D45" i="4" a="1"/>
  <c r="D45" i="4" s="1"/>
  <c r="E45" i="4" a="1"/>
  <c r="E45" i="4" s="1"/>
  <c r="F45" i="4" a="1"/>
  <c r="F45" i="4" s="1"/>
  <c r="B46" i="4" a="1"/>
  <c r="B46" i="4" s="1"/>
  <c r="C46" i="4" a="1"/>
  <c r="C46" i="4" s="1"/>
  <c r="D46" i="4" a="1"/>
  <c r="D46" i="4" s="1"/>
  <c r="E46" i="4" a="1"/>
  <c r="E46" i="4" s="1"/>
  <c r="F46" i="4" a="1"/>
  <c r="F46" i="4" s="1"/>
  <c r="B47" i="4" a="1"/>
  <c r="B47" i="4" s="1"/>
  <c r="C47" i="4" a="1"/>
  <c r="C47" i="4" s="1"/>
  <c r="D47" i="4" a="1"/>
  <c r="D47" i="4" s="1"/>
  <c r="E47" i="4" a="1"/>
  <c r="E47" i="4" s="1"/>
  <c r="F47" i="4" a="1"/>
  <c r="F47" i="4" s="1"/>
  <c r="B48" i="4" a="1"/>
  <c r="B48" i="4" s="1"/>
  <c r="C48" i="4" a="1"/>
  <c r="C48" i="4" s="1"/>
  <c r="D48" i="4" a="1"/>
  <c r="D48" i="4" s="1"/>
  <c r="E48" i="4" a="1"/>
  <c r="E48" i="4" s="1"/>
  <c r="F48" i="4" a="1"/>
  <c r="F48" i="4" s="1"/>
  <c r="B49" i="4" a="1"/>
  <c r="B49" i="4" s="1"/>
  <c r="C49" i="4" a="1"/>
  <c r="C49" i="4" s="1"/>
  <c r="D49" i="4" a="1"/>
  <c r="D49" i="4" s="1"/>
  <c r="E49" i="4" a="1"/>
  <c r="E49" i="4" s="1"/>
  <c r="F49" i="4" a="1"/>
  <c r="F49" i="4" s="1"/>
  <c r="B50" i="4" a="1"/>
  <c r="B50" i="4" s="1"/>
  <c r="C50" i="4" a="1"/>
  <c r="C50" i="4" s="1"/>
  <c r="D50" i="4" a="1"/>
  <c r="D50" i="4" s="1"/>
  <c r="E50" i="4" a="1"/>
  <c r="E50" i="4" s="1"/>
  <c r="F50" i="4" a="1"/>
  <c r="F50" i="4" s="1"/>
  <c r="B51" i="4" a="1"/>
  <c r="B51" i="4" s="1"/>
  <c r="C51" i="4" a="1"/>
  <c r="C51" i="4" s="1"/>
  <c r="D51" i="4" a="1"/>
  <c r="D51" i="4" s="1"/>
  <c r="E51" i="4" a="1"/>
  <c r="E51" i="4" s="1"/>
  <c r="F51" i="4" a="1"/>
  <c r="F51" i="4" s="1"/>
  <c r="B52" i="4" a="1"/>
  <c r="B52" i="4" s="1"/>
  <c r="C52" i="4" a="1"/>
  <c r="C52" i="4" s="1"/>
  <c r="D52" i="4" a="1"/>
  <c r="D52" i="4" s="1"/>
  <c r="E52" i="4" a="1"/>
  <c r="E52" i="4" s="1"/>
  <c r="F52" i="4" a="1"/>
  <c r="F52" i="4" s="1"/>
  <c r="B53" i="4" a="1"/>
  <c r="B53" i="4" s="1"/>
  <c r="C53" i="4" a="1"/>
  <c r="C53" i="4" s="1"/>
  <c r="D53" i="4" a="1"/>
  <c r="D53" i="4" s="1"/>
  <c r="E53" i="4" a="1"/>
  <c r="E53" i="4" s="1"/>
  <c r="F53" i="4" a="1"/>
  <c r="F53" i="4" s="1"/>
  <c r="B54" i="4" a="1"/>
  <c r="B54" i="4" s="1"/>
  <c r="C54" i="4" a="1"/>
  <c r="C54" i="4" s="1"/>
  <c r="D54" i="4" a="1"/>
  <c r="D54" i="4" s="1"/>
  <c r="E54" i="4" a="1"/>
  <c r="E54" i="4" s="1"/>
  <c r="F54" i="4" a="1"/>
  <c r="F54" i="4" s="1"/>
  <c r="B55" i="4" a="1"/>
  <c r="B55" i="4" s="1"/>
  <c r="C55" i="4" a="1"/>
  <c r="C55" i="4" s="1"/>
  <c r="D55" i="4" a="1"/>
  <c r="D55" i="4" s="1"/>
  <c r="E55" i="4" a="1"/>
  <c r="E55" i="4" s="1"/>
  <c r="F55" i="4" a="1"/>
  <c r="F55" i="4" s="1"/>
  <c r="B56" i="4" a="1"/>
  <c r="B56" i="4" s="1"/>
  <c r="C56" i="4" a="1"/>
  <c r="C56" i="4" s="1"/>
  <c r="D56" i="4" a="1"/>
  <c r="D56" i="4" s="1"/>
  <c r="E56" i="4" a="1"/>
  <c r="E56" i="4" s="1"/>
  <c r="F56" i="4" a="1"/>
  <c r="F56" i="4" s="1"/>
  <c r="B57" i="4" a="1"/>
  <c r="B57" i="4" s="1"/>
  <c r="C57" i="4" a="1"/>
  <c r="C57" i="4" s="1"/>
  <c r="D57" i="4" a="1"/>
  <c r="D57" i="4" s="1"/>
  <c r="E57" i="4" a="1"/>
  <c r="E57" i="4" s="1"/>
  <c r="F57" i="4" a="1"/>
  <c r="F57" i="4" s="1"/>
  <c r="B58" i="4" a="1"/>
  <c r="B58" i="4" s="1"/>
  <c r="C58" i="4" a="1"/>
  <c r="C58" i="4" s="1"/>
  <c r="D58" i="4" a="1"/>
  <c r="D58" i="4" s="1"/>
  <c r="E58" i="4" a="1"/>
  <c r="E58" i="4" s="1"/>
  <c r="F58" i="4" a="1"/>
  <c r="F58" i="4" s="1"/>
  <c r="B59" i="4" a="1"/>
  <c r="B59" i="4" s="1"/>
  <c r="C59" i="4" a="1"/>
  <c r="C59" i="4" s="1"/>
  <c r="D59" i="4" a="1"/>
  <c r="D59" i="4" s="1"/>
  <c r="E59" i="4" a="1"/>
  <c r="E59" i="4" s="1"/>
  <c r="F59" i="4" a="1"/>
  <c r="F59" i="4" s="1"/>
  <c r="B60" i="4" a="1"/>
  <c r="B60" i="4" s="1"/>
  <c r="C60" i="4" a="1"/>
  <c r="C60" i="4" s="1"/>
  <c r="D60" i="4" a="1"/>
  <c r="D60" i="4" s="1"/>
  <c r="E60" i="4" a="1"/>
  <c r="E60" i="4" s="1"/>
  <c r="F60" i="4" a="1"/>
  <c r="F60" i="4" s="1"/>
  <c r="B61" i="4" a="1"/>
  <c r="B61" i="4" s="1"/>
  <c r="C61" i="4" a="1"/>
  <c r="C61" i="4" s="1"/>
  <c r="D61" i="4" a="1"/>
  <c r="D61" i="4" s="1"/>
  <c r="E61" i="4" a="1"/>
  <c r="E61" i="4" s="1"/>
  <c r="F61" i="4" a="1"/>
  <c r="F61" i="4" s="1"/>
  <c r="B62" i="4" a="1"/>
  <c r="B62" i="4" s="1"/>
  <c r="C62" i="4" a="1"/>
  <c r="C62" i="4" s="1"/>
  <c r="D62" i="4" a="1"/>
  <c r="D62" i="4" s="1"/>
  <c r="E62" i="4" a="1"/>
  <c r="E62" i="4" s="1"/>
  <c r="F62" i="4" a="1"/>
  <c r="F62" i="4" s="1"/>
  <c r="B63" i="4" a="1"/>
  <c r="B63" i="4" s="1"/>
  <c r="C63" i="4" a="1"/>
  <c r="C63" i="4" s="1"/>
  <c r="D63" i="4" a="1"/>
  <c r="D63" i="4" s="1"/>
  <c r="E63" i="4" a="1"/>
  <c r="E63" i="4" s="1"/>
  <c r="F63" i="4" a="1"/>
  <c r="F63" i="4" s="1"/>
  <c r="B64" i="4" a="1"/>
  <c r="B64" i="4" s="1"/>
  <c r="C64" i="4" a="1"/>
  <c r="C64" i="4" s="1"/>
  <c r="D64" i="4" a="1"/>
  <c r="D64" i="4" s="1"/>
  <c r="E64" i="4" a="1"/>
  <c r="E64" i="4" s="1"/>
  <c r="F64" i="4" a="1"/>
  <c r="F64" i="4" s="1"/>
  <c r="B65" i="4" a="1"/>
  <c r="B65" i="4" s="1"/>
  <c r="C65" i="4" a="1"/>
  <c r="C65" i="4" s="1"/>
  <c r="D65" i="4" a="1"/>
  <c r="D65" i="4" s="1"/>
  <c r="E65" i="4" a="1"/>
  <c r="E65" i="4" s="1"/>
  <c r="F65" i="4" a="1"/>
  <c r="F65" i="4" s="1"/>
  <c r="B66" i="4" a="1"/>
  <c r="B66" i="4" s="1"/>
  <c r="C66" i="4" a="1"/>
  <c r="C66" i="4" s="1"/>
  <c r="D66" i="4" a="1"/>
  <c r="D66" i="4" s="1"/>
  <c r="E66" i="4" a="1"/>
  <c r="E66" i="4" s="1"/>
  <c r="F66" i="4" a="1"/>
  <c r="F66" i="4" s="1"/>
  <c r="B67" i="4" a="1"/>
  <c r="B67" i="4" s="1"/>
  <c r="C67" i="4" a="1"/>
  <c r="C67" i="4" s="1"/>
  <c r="D67" i="4" a="1"/>
  <c r="D67" i="4" s="1"/>
  <c r="E67" i="4" a="1"/>
  <c r="E67" i="4" s="1"/>
  <c r="F67" i="4" a="1"/>
  <c r="F67" i="4" s="1"/>
  <c r="B68" i="4" a="1"/>
  <c r="B68" i="4" s="1"/>
  <c r="C68" i="4" a="1"/>
  <c r="C68" i="4" s="1"/>
  <c r="D68" i="4" a="1"/>
  <c r="D68" i="4" s="1"/>
  <c r="E68" i="4" a="1"/>
  <c r="E68" i="4" s="1"/>
  <c r="F68" i="4" a="1"/>
  <c r="F68" i="4" s="1"/>
  <c r="B69" i="4" a="1"/>
  <c r="B69" i="4" s="1"/>
  <c r="C69" i="4" a="1"/>
  <c r="C69" i="4" s="1"/>
  <c r="D69" i="4" a="1"/>
  <c r="D69" i="4" s="1"/>
  <c r="E69" i="4" a="1"/>
  <c r="E69" i="4" s="1"/>
  <c r="F69" i="4" a="1"/>
  <c r="F69" i="4" s="1"/>
  <c r="B70" i="4" a="1"/>
  <c r="B70" i="4" s="1"/>
  <c r="C70" i="4" a="1"/>
  <c r="C70" i="4" s="1"/>
  <c r="D70" i="4" a="1"/>
  <c r="D70" i="4" s="1"/>
  <c r="E70" i="4" a="1"/>
  <c r="E70" i="4" s="1"/>
  <c r="F70" i="4" a="1"/>
  <c r="F70" i="4" s="1"/>
  <c r="B71" i="4" a="1"/>
  <c r="B71" i="4" s="1"/>
  <c r="C71" i="4" a="1"/>
  <c r="C71" i="4" s="1"/>
  <c r="D71" i="4" a="1"/>
  <c r="D71" i="4" s="1"/>
  <c r="E71" i="4" a="1"/>
  <c r="E71" i="4" s="1"/>
  <c r="F71" i="4" a="1"/>
  <c r="F71" i="4" s="1"/>
  <c r="B72" i="4" a="1"/>
  <c r="B72" i="4" s="1"/>
  <c r="C72" i="4" a="1"/>
  <c r="C72" i="4" s="1"/>
  <c r="D72" i="4" a="1"/>
  <c r="D72" i="4" s="1"/>
  <c r="E72" i="4" a="1"/>
  <c r="E72" i="4" s="1"/>
  <c r="F72" i="4" a="1"/>
  <c r="F72" i="4" s="1"/>
  <c r="B73" i="4" a="1"/>
  <c r="B73" i="4" s="1"/>
  <c r="C73" i="4" a="1"/>
  <c r="C73" i="4" s="1"/>
  <c r="D73" i="4" a="1"/>
  <c r="D73" i="4" s="1"/>
  <c r="E73" i="4" a="1"/>
  <c r="E73" i="4" s="1"/>
  <c r="F73" i="4" a="1"/>
  <c r="F73" i="4" s="1"/>
  <c r="B74" i="4" a="1"/>
  <c r="B74" i="4" s="1"/>
  <c r="C74" i="4" a="1"/>
  <c r="C74" i="4" s="1"/>
  <c r="D74" i="4" a="1"/>
  <c r="D74" i="4" s="1"/>
  <c r="E74" i="4" a="1"/>
  <c r="E74" i="4" s="1"/>
  <c r="F74" i="4" a="1"/>
  <c r="F74" i="4" s="1"/>
  <c r="B75" i="4" a="1"/>
  <c r="B75" i="4" s="1"/>
  <c r="C75" i="4" a="1"/>
  <c r="C75" i="4" s="1"/>
  <c r="D75" i="4" a="1"/>
  <c r="D75" i="4" s="1"/>
  <c r="E75" i="4" a="1"/>
  <c r="E75" i="4" s="1"/>
  <c r="F75" i="4" a="1"/>
  <c r="F75" i="4" s="1"/>
  <c r="B76" i="4" a="1"/>
  <c r="B76" i="4" s="1"/>
  <c r="C76" i="4" a="1"/>
  <c r="C76" i="4" s="1"/>
  <c r="D76" i="4" a="1"/>
  <c r="D76" i="4" s="1"/>
  <c r="E76" i="4" a="1"/>
  <c r="E76" i="4" s="1"/>
  <c r="F76" i="4" a="1"/>
  <c r="F76" i="4" s="1"/>
  <c r="B77" i="4" a="1"/>
  <c r="B77" i="4" s="1"/>
  <c r="C77" i="4" a="1"/>
  <c r="C77" i="4" s="1"/>
  <c r="D77" i="4" a="1"/>
  <c r="D77" i="4" s="1"/>
  <c r="E77" i="4" a="1"/>
  <c r="E77" i="4" s="1"/>
  <c r="F77" i="4" a="1"/>
  <c r="F77" i="4" s="1"/>
  <c r="B78" i="4" a="1"/>
  <c r="B78" i="4" s="1"/>
  <c r="C78" i="4" a="1"/>
  <c r="C78" i="4" s="1"/>
  <c r="D78" i="4" a="1"/>
  <c r="D78" i="4" s="1"/>
  <c r="E78" i="4" a="1"/>
  <c r="E78" i="4" s="1"/>
  <c r="F78" i="4" a="1"/>
  <c r="F78" i="4" s="1"/>
  <c r="B79" i="4" a="1"/>
  <c r="B79" i="4" s="1"/>
  <c r="C79" i="4" a="1"/>
  <c r="C79" i="4" s="1"/>
  <c r="D79" i="4" a="1"/>
  <c r="D79" i="4" s="1"/>
  <c r="E79" i="4" a="1"/>
  <c r="E79" i="4" s="1"/>
  <c r="F79" i="4" a="1"/>
  <c r="F79" i="4" s="1"/>
  <c r="B80" i="4" a="1"/>
  <c r="B80" i="4" s="1"/>
  <c r="C80" i="4" a="1"/>
  <c r="C80" i="4" s="1"/>
  <c r="D80" i="4" a="1"/>
  <c r="D80" i="4" s="1"/>
  <c r="E80" i="4" a="1"/>
  <c r="E80" i="4" s="1"/>
  <c r="F80" i="4" a="1"/>
  <c r="F80" i="4" s="1"/>
  <c r="B81" i="4" a="1"/>
  <c r="B81" i="4" s="1"/>
  <c r="C81" i="4" a="1"/>
  <c r="C81" i="4" s="1"/>
  <c r="D81" i="4" a="1"/>
  <c r="D81" i="4" s="1"/>
  <c r="E81" i="4" a="1"/>
  <c r="E81" i="4" s="1"/>
  <c r="F81" i="4" a="1"/>
  <c r="F81" i="4" s="1"/>
  <c r="B82" i="4" a="1"/>
  <c r="B82" i="4" s="1"/>
  <c r="C82" i="4" a="1"/>
  <c r="C82" i="4" s="1"/>
  <c r="D82" i="4" a="1"/>
  <c r="D82" i="4" s="1"/>
  <c r="E82" i="4" a="1"/>
  <c r="E82" i="4" s="1"/>
  <c r="F82" i="4" a="1"/>
  <c r="F82" i="4" s="1"/>
  <c r="B83" i="4" a="1"/>
  <c r="B83" i="4" s="1"/>
  <c r="C83" i="4" a="1"/>
  <c r="C83" i="4" s="1"/>
  <c r="D83" i="4" a="1"/>
  <c r="D83" i="4" s="1"/>
  <c r="E83" i="4" a="1"/>
  <c r="E83" i="4" s="1"/>
  <c r="F83" i="4" a="1"/>
  <c r="F83" i="4" s="1"/>
  <c r="B84" i="4" a="1"/>
  <c r="B84" i="4" s="1"/>
  <c r="C84" i="4" a="1"/>
  <c r="C84" i="4" s="1"/>
  <c r="D84" i="4" a="1"/>
  <c r="D84" i="4" s="1"/>
  <c r="E84" i="4" a="1"/>
  <c r="E84" i="4" s="1"/>
  <c r="F84" i="4" a="1"/>
  <c r="F84" i="4" s="1"/>
  <c r="B85" i="4" a="1"/>
  <c r="B85" i="4" s="1"/>
  <c r="C85" i="4" a="1"/>
  <c r="C85" i="4" s="1"/>
  <c r="D85" i="4" a="1"/>
  <c r="D85" i="4" s="1"/>
  <c r="E85" i="4" a="1"/>
  <c r="E85" i="4" s="1"/>
  <c r="F85" i="4" a="1"/>
  <c r="F85" i="4" s="1"/>
  <c r="B86" i="4" a="1"/>
  <c r="B86" i="4" s="1"/>
  <c r="C86" i="4" a="1"/>
  <c r="C86" i="4" s="1"/>
  <c r="D86" i="4" a="1"/>
  <c r="D86" i="4" s="1"/>
  <c r="E86" i="4" a="1"/>
  <c r="E86" i="4" s="1"/>
  <c r="F86" i="4" a="1"/>
  <c r="F86" i="4" s="1"/>
  <c r="B87" i="4" a="1"/>
  <c r="B87" i="4" s="1"/>
  <c r="C87" i="4" a="1"/>
  <c r="C87" i="4" s="1"/>
  <c r="D87" i="4" a="1"/>
  <c r="D87" i="4" s="1"/>
  <c r="E87" i="4" a="1"/>
  <c r="E87" i="4" s="1"/>
  <c r="F87" i="4" a="1"/>
  <c r="F87" i="4" s="1"/>
  <c r="B88" i="4" a="1"/>
  <c r="B88" i="4" s="1"/>
  <c r="C88" i="4" a="1"/>
  <c r="C88" i="4" s="1"/>
  <c r="D88" i="4" a="1"/>
  <c r="D88" i="4" s="1"/>
  <c r="E88" i="4" a="1"/>
  <c r="E88" i="4" s="1"/>
  <c r="F88" i="4" a="1"/>
  <c r="F88" i="4" s="1"/>
  <c r="B89" i="4" a="1"/>
  <c r="B89" i="4" s="1"/>
  <c r="C89" i="4" a="1"/>
  <c r="C89" i="4" s="1"/>
  <c r="D89" i="4" a="1"/>
  <c r="D89" i="4" s="1"/>
  <c r="E89" i="4" a="1"/>
  <c r="E89" i="4" s="1"/>
  <c r="F89" i="4" a="1"/>
  <c r="F89" i="4" s="1"/>
  <c r="B90" i="4" a="1"/>
  <c r="B90" i="4" s="1"/>
  <c r="C90" i="4" a="1"/>
  <c r="C90" i="4" s="1"/>
  <c r="D90" i="4" a="1"/>
  <c r="D90" i="4" s="1"/>
  <c r="E90" i="4" a="1"/>
  <c r="E90" i="4" s="1"/>
  <c r="F90" i="4" a="1"/>
  <c r="F90" i="4" s="1"/>
  <c r="B91" i="4" a="1"/>
  <c r="B91" i="4" s="1"/>
  <c r="C91" i="4" a="1"/>
  <c r="C91" i="4" s="1"/>
  <c r="D91" i="4" a="1"/>
  <c r="D91" i="4" s="1"/>
  <c r="E91" i="4" a="1"/>
  <c r="E91" i="4" s="1"/>
  <c r="F91" i="4" a="1"/>
  <c r="F91" i="4" s="1"/>
  <c r="B92" i="4" a="1"/>
  <c r="B92" i="4" s="1"/>
  <c r="C92" i="4" a="1"/>
  <c r="C92" i="4" s="1"/>
  <c r="D92" i="4" a="1"/>
  <c r="D92" i="4" s="1"/>
  <c r="E92" i="4" a="1"/>
  <c r="E92" i="4" s="1"/>
  <c r="F92" i="4" a="1"/>
  <c r="F92" i="4" s="1"/>
  <c r="B93" i="4" a="1"/>
  <c r="B93" i="4" s="1"/>
  <c r="C93" i="4" a="1"/>
  <c r="C93" i="4" s="1"/>
  <c r="D93" i="4" a="1"/>
  <c r="D93" i="4" s="1"/>
  <c r="E93" i="4" a="1"/>
  <c r="E93" i="4" s="1"/>
  <c r="F93" i="4" a="1"/>
  <c r="F93" i="4" s="1"/>
  <c r="B94" i="4" a="1"/>
  <c r="B94" i="4" s="1"/>
  <c r="C94" i="4" a="1"/>
  <c r="C94" i="4" s="1"/>
  <c r="D94" i="4" a="1"/>
  <c r="D94" i="4" s="1"/>
  <c r="E94" i="4" a="1"/>
  <c r="E94" i="4" s="1"/>
  <c r="F94" i="4" a="1"/>
  <c r="F94" i="4" s="1"/>
  <c r="B95" i="4" a="1"/>
  <c r="B95" i="4" s="1"/>
  <c r="C95" i="4" a="1"/>
  <c r="C95" i="4" s="1"/>
  <c r="D95" i="4" a="1"/>
  <c r="D95" i="4" s="1"/>
  <c r="E95" i="4" a="1"/>
  <c r="E95" i="4" s="1"/>
  <c r="F95" i="4" a="1"/>
  <c r="F95" i="4" s="1"/>
  <c r="B96" i="4" a="1"/>
  <c r="B96" i="4" s="1"/>
  <c r="C96" i="4" a="1"/>
  <c r="C96" i="4" s="1"/>
  <c r="D96" i="4" a="1"/>
  <c r="D96" i="4" s="1"/>
  <c r="E96" i="4" a="1"/>
  <c r="E96" i="4" s="1"/>
  <c r="F96" i="4" a="1"/>
  <c r="F96" i="4" s="1"/>
  <c r="B97" i="4" a="1"/>
  <c r="B97" i="4" s="1"/>
  <c r="C97" i="4" a="1"/>
  <c r="C97" i="4" s="1"/>
  <c r="D97" i="4" a="1"/>
  <c r="D97" i="4" s="1"/>
  <c r="E97" i="4" a="1"/>
  <c r="E97" i="4" s="1"/>
  <c r="F97" i="4" a="1"/>
  <c r="F97" i="4" s="1"/>
  <c r="B98" i="4" a="1"/>
  <c r="B98" i="4" s="1"/>
  <c r="C98" i="4" a="1"/>
  <c r="C98" i="4" s="1"/>
  <c r="D98" i="4" a="1"/>
  <c r="D98" i="4" s="1"/>
  <c r="E98" i="4" a="1"/>
  <c r="E98" i="4" s="1"/>
  <c r="F98" i="4" a="1"/>
  <c r="F98" i="4" s="1"/>
  <c r="B99" i="4" a="1"/>
  <c r="B99" i="4" s="1"/>
  <c r="C99" i="4" a="1"/>
  <c r="C99" i="4" s="1"/>
  <c r="D99" i="4" a="1"/>
  <c r="D99" i="4" s="1"/>
  <c r="E99" i="4" a="1"/>
  <c r="E99" i="4" s="1"/>
  <c r="F99" i="4" a="1"/>
  <c r="F99" i="4" s="1"/>
  <c r="B100" i="4" a="1"/>
  <c r="B100" i="4" s="1"/>
  <c r="C100" i="4" a="1"/>
  <c r="C100" i="4" s="1"/>
  <c r="D100" i="4" a="1"/>
  <c r="D100" i="4" s="1"/>
  <c r="E100" i="4" a="1"/>
  <c r="E100" i="4" s="1"/>
  <c r="F100" i="4" a="1"/>
  <c r="F100" i="4" s="1"/>
  <c r="B101" i="4" a="1"/>
  <c r="B101" i="4" s="1"/>
  <c r="C101" i="4" a="1"/>
  <c r="C101" i="4" s="1"/>
  <c r="D101" i="4" a="1"/>
  <c r="D101" i="4" s="1"/>
  <c r="E101" i="4" a="1"/>
  <c r="E101" i="4" s="1"/>
  <c r="F101" i="4" a="1"/>
  <c r="F101" i="4" s="1"/>
  <c r="B102" i="4" a="1"/>
  <c r="B102" i="4" s="1"/>
  <c r="C102" i="4" a="1"/>
  <c r="C102" i="4" s="1"/>
  <c r="D102" i="4" a="1"/>
  <c r="D102" i="4" s="1"/>
  <c r="E102" i="4" a="1"/>
  <c r="E102" i="4" s="1"/>
  <c r="F102" i="4" a="1"/>
  <c r="F102" i="4" s="1"/>
  <c r="B103" i="4" a="1"/>
  <c r="B103" i="4" s="1"/>
  <c r="C103" i="4" a="1"/>
  <c r="C103" i="4" s="1"/>
  <c r="D103" i="4" a="1"/>
  <c r="D103" i="4" s="1"/>
  <c r="E103" i="4" a="1"/>
  <c r="E103" i="4" s="1"/>
  <c r="F103" i="4" a="1"/>
  <c r="F103" i="4" s="1"/>
  <c r="B104" i="4" a="1"/>
  <c r="B104" i="4" s="1"/>
  <c r="C104" i="4" a="1"/>
  <c r="C104" i="4" s="1"/>
  <c r="D104" i="4" a="1"/>
  <c r="D104" i="4" s="1"/>
  <c r="E104" i="4" a="1"/>
  <c r="E104" i="4" s="1"/>
  <c r="F104" i="4" a="1"/>
  <c r="F104" i="4" s="1"/>
  <c r="B105" i="4" a="1"/>
  <c r="B105" i="4" s="1"/>
  <c r="C105" i="4" a="1"/>
  <c r="C105" i="4" s="1"/>
  <c r="D105" i="4" a="1"/>
  <c r="D105" i="4" s="1"/>
  <c r="E105" i="4" a="1"/>
  <c r="E105" i="4" s="1"/>
  <c r="F105" i="4" a="1"/>
  <c r="F105" i="4" s="1"/>
  <c r="B106" i="4" a="1"/>
  <c r="B106" i="4" s="1"/>
  <c r="C106" i="4" a="1"/>
  <c r="C106" i="4" s="1"/>
  <c r="D106" i="4" a="1"/>
  <c r="D106" i="4" s="1"/>
  <c r="E106" i="4" a="1"/>
  <c r="E106" i="4" s="1"/>
  <c r="F106" i="4" a="1"/>
  <c r="F106" i="4" s="1"/>
  <c r="B107" i="4" a="1"/>
  <c r="B107" i="4" s="1"/>
  <c r="C107" i="4" a="1"/>
  <c r="C107" i="4" s="1"/>
  <c r="D107" i="4" a="1"/>
  <c r="D107" i="4" s="1"/>
  <c r="E107" i="4" a="1"/>
  <c r="E107" i="4" s="1"/>
  <c r="F107" i="4" a="1"/>
  <c r="F107" i="4" s="1"/>
  <c r="B108" i="4" a="1"/>
  <c r="B108" i="4" s="1"/>
  <c r="C108" i="4" a="1"/>
  <c r="C108" i="4" s="1"/>
  <c r="D108" i="4" a="1"/>
  <c r="D108" i="4" s="1"/>
  <c r="E108" i="4" a="1"/>
  <c r="E108" i="4" s="1"/>
  <c r="F108" i="4" a="1"/>
  <c r="F108" i="4" s="1"/>
  <c r="B109" i="4" a="1"/>
  <c r="B109" i="4" s="1"/>
  <c r="C109" i="4" a="1"/>
  <c r="C109" i="4" s="1"/>
  <c r="D109" i="4" a="1"/>
  <c r="D109" i="4" s="1"/>
  <c r="E109" i="4" a="1"/>
  <c r="E109" i="4" s="1"/>
  <c r="F109" i="4" a="1"/>
  <c r="F109" i="4" s="1"/>
  <c r="B110" i="4" a="1"/>
  <c r="B110" i="4" s="1"/>
  <c r="C110" i="4" a="1"/>
  <c r="C110" i="4" s="1"/>
  <c r="D110" i="4" a="1"/>
  <c r="D110" i="4" s="1"/>
  <c r="E110" i="4" a="1"/>
  <c r="E110" i="4" s="1"/>
  <c r="F110" i="4" a="1"/>
  <c r="F110" i="4" s="1"/>
  <c r="B111" i="4" a="1"/>
  <c r="B111" i="4" s="1"/>
  <c r="C111" i="4" a="1"/>
  <c r="C111" i="4" s="1"/>
  <c r="D111" i="4" a="1"/>
  <c r="D111" i="4" s="1"/>
  <c r="E111" i="4" a="1"/>
  <c r="E111" i="4" s="1"/>
  <c r="F111" i="4" a="1"/>
  <c r="F111" i="4" s="1"/>
  <c r="B112" i="4" a="1"/>
  <c r="B112" i="4" s="1"/>
  <c r="C112" i="4" a="1"/>
  <c r="C112" i="4" s="1"/>
  <c r="D112" i="4" a="1"/>
  <c r="D112" i="4" s="1"/>
  <c r="E112" i="4" a="1"/>
  <c r="E112" i="4" s="1"/>
  <c r="F112" i="4" a="1"/>
  <c r="F112" i="4" s="1"/>
  <c r="B113" i="4" a="1"/>
  <c r="B113" i="4" s="1"/>
  <c r="C113" i="4" a="1"/>
  <c r="C113" i="4" s="1"/>
  <c r="D113" i="4" a="1"/>
  <c r="D113" i="4" s="1"/>
  <c r="E113" i="4" a="1"/>
  <c r="E113" i="4" s="1"/>
  <c r="F113" i="4" a="1"/>
  <c r="F113" i="4" s="1"/>
  <c r="B114" i="4" a="1"/>
  <c r="B114" i="4" s="1"/>
  <c r="C114" i="4" a="1"/>
  <c r="C114" i="4" s="1"/>
  <c r="D114" i="4" a="1"/>
  <c r="D114" i="4" s="1"/>
  <c r="E114" i="4" a="1"/>
  <c r="E114" i="4" s="1"/>
  <c r="F114" i="4" a="1"/>
  <c r="F114" i="4" s="1"/>
  <c r="B115" i="4" a="1"/>
  <c r="B115" i="4" s="1"/>
  <c r="C115" i="4" a="1"/>
  <c r="C115" i="4" s="1"/>
  <c r="D115" i="4" a="1"/>
  <c r="D115" i="4" s="1"/>
  <c r="E115" i="4" a="1"/>
  <c r="E115" i="4" s="1"/>
  <c r="F115" i="4" a="1"/>
  <c r="F115" i="4" s="1"/>
  <c r="B116" i="4" a="1"/>
  <c r="B116" i="4" s="1"/>
  <c r="C116" i="4" a="1"/>
  <c r="C116" i="4" s="1"/>
  <c r="D116" i="4" a="1"/>
  <c r="D116" i="4" s="1"/>
  <c r="E116" i="4" a="1"/>
  <c r="E116" i="4" s="1"/>
  <c r="F116" i="4" a="1"/>
  <c r="F116" i="4" s="1"/>
  <c r="B117" i="4" a="1"/>
  <c r="B117" i="4" s="1"/>
  <c r="C117" i="4" a="1"/>
  <c r="C117" i="4" s="1"/>
  <c r="D117" i="4" a="1"/>
  <c r="D117" i="4" s="1"/>
  <c r="E117" i="4" a="1"/>
  <c r="E117" i="4" s="1"/>
  <c r="F117" i="4" a="1"/>
  <c r="F117" i="4" s="1"/>
  <c r="B118" i="4" a="1"/>
  <c r="B118" i="4" s="1"/>
  <c r="C118" i="4" a="1"/>
  <c r="C118" i="4" s="1"/>
  <c r="D118" i="4" a="1"/>
  <c r="D118" i="4" s="1"/>
  <c r="E118" i="4" a="1"/>
  <c r="E118" i="4" s="1"/>
  <c r="F118" i="4" a="1"/>
  <c r="F118" i="4" s="1"/>
  <c r="B119" i="4" a="1"/>
  <c r="B119" i="4" s="1"/>
  <c r="C119" i="4" a="1"/>
  <c r="C119" i="4" s="1"/>
  <c r="D119" i="4" a="1"/>
  <c r="D119" i="4" s="1"/>
  <c r="E119" i="4" a="1"/>
  <c r="E119" i="4" s="1"/>
  <c r="F119" i="4" a="1"/>
  <c r="F119" i="4" s="1"/>
  <c r="B120" i="4" a="1"/>
  <c r="B120" i="4" s="1"/>
  <c r="C120" i="4" a="1"/>
  <c r="C120" i="4" s="1"/>
  <c r="D120" i="4" a="1"/>
  <c r="D120" i="4" s="1"/>
  <c r="E120" i="4" a="1"/>
  <c r="E120" i="4" s="1"/>
  <c r="F120" i="4" a="1"/>
  <c r="F120" i="4" s="1"/>
  <c r="B121" i="4" a="1"/>
  <c r="B121" i="4" s="1"/>
  <c r="C121" i="4" a="1"/>
  <c r="C121" i="4" s="1"/>
  <c r="D121" i="4" a="1"/>
  <c r="D121" i="4" s="1"/>
  <c r="E121" i="4" a="1"/>
  <c r="E121" i="4" s="1"/>
  <c r="F121" i="4" a="1"/>
  <c r="F121" i="4" s="1"/>
  <c r="B122" i="4" a="1"/>
  <c r="B122" i="4" s="1"/>
  <c r="C122" i="4" a="1"/>
  <c r="C122" i="4" s="1"/>
  <c r="D122" i="4" a="1"/>
  <c r="D122" i="4" s="1"/>
  <c r="E122" i="4" a="1"/>
  <c r="E122" i="4" s="1"/>
  <c r="F122" i="4" a="1"/>
  <c r="F122" i="4" s="1"/>
  <c r="B123" i="4" a="1"/>
  <c r="B123" i="4" s="1"/>
  <c r="C123" i="4" a="1"/>
  <c r="C123" i="4" s="1"/>
  <c r="D123" i="4" a="1"/>
  <c r="D123" i="4" s="1"/>
  <c r="E123" i="4" a="1"/>
  <c r="E123" i="4" s="1"/>
  <c r="F123" i="4" a="1"/>
  <c r="F123" i="4" s="1"/>
  <c r="B124" i="4" a="1"/>
  <c r="B124" i="4" s="1"/>
  <c r="C124" i="4" a="1"/>
  <c r="C124" i="4" s="1"/>
  <c r="D124" i="4" a="1"/>
  <c r="D124" i="4" s="1"/>
  <c r="E124" i="4" a="1"/>
  <c r="E124" i="4" s="1"/>
  <c r="F124" i="4" a="1"/>
  <c r="F124" i="4" s="1"/>
  <c r="B125" i="4" a="1"/>
  <c r="B125" i="4" s="1"/>
  <c r="C125" i="4" a="1"/>
  <c r="C125" i="4" s="1"/>
  <c r="D125" i="4" a="1"/>
  <c r="D125" i="4" s="1"/>
  <c r="E125" i="4" a="1"/>
  <c r="E125" i="4" s="1"/>
  <c r="F125" i="4" a="1"/>
  <c r="F125" i="4" s="1"/>
  <c r="B126" i="4" a="1"/>
  <c r="B126" i="4" s="1"/>
  <c r="C126" i="4" a="1"/>
  <c r="C126" i="4" s="1"/>
  <c r="D126" i="4" a="1"/>
  <c r="D126" i="4" s="1"/>
  <c r="E126" i="4" a="1"/>
  <c r="E126" i="4" s="1"/>
  <c r="F126" i="4" a="1"/>
  <c r="F126" i="4" s="1"/>
  <c r="B127" i="4" a="1"/>
  <c r="B127" i="4" s="1"/>
  <c r="C127" i="4" a="1"/>
  <c r="C127" i="4" s="1"/>
  <c r="D127" i="4" a="1"/>
  <c r="D127" i="4" s="1"/>
  <c r="E127" i="4" a="1"/>
  <c r="E127" i="4" s="1"/>
  <c r="F127" i="4" a="1"/>
  <c r="F127" i="4" s="1"/>
  <c r="B128" i="4" a="1"/>
  <c r="B128" i="4" s="1"/>
  <c r="C128" i="4" a="1"/>
  <c r="C128" i="4" s="1"/>
  <c r="D128" i="4" a="1"/>
  <c r="D128" i="4" s="1"/>
  <c r="E128" i="4" a="1"/>
  <c r="E128" i="4" s="1"/>
  <c r="F128" i="4" a="1"/>
  <c r="F128" i="4" s="1"/>
  <c r="B129" i="4" a="1"/>
  <c r="B129" i="4" s="1"/>
  <c r="C129" i="4" a="1"/>
  <c r="C129" i="4" s="1"/>
  <c r="D129" i="4" a="1"/>
  <c r="D129" i="4" s="1"/>
  <c r="E129" i="4" a="1"/>
  <c r="E129" i="4" s="1"/>
  <c r="F129" i="4" a="1"/>
  <c r="F129" i="4" s="1"/>
  <c r="B130" i="4" a="1"/>
  <c r="B130" i="4" s="1"/>
  <c r="C130" i="4" a="1"/>
  <c r="C130" i="4" s="1"/>
  <c r="D130" i="4" a="1"/>
  <c r="D130" i="4" s="1"/>
  <c r="E130" i="4" a="1"/>
  <c r="E130" i="4" s="1"/>
  <c r="F130" i="4" a="1"/>
  <c r="F130" i="4" s="1"/>
  <c r="B131" i="4" a="1"/>
  <c r="B131" i="4" s="1"/>
  <c r="C131" i="4" a="1"/>
  <c r="C131" i="4" s="1"/>
  <c r="D131" i="4" a="1"/>
  <c r="D131" i="4" s="1"/>
  <c r="E131" i="4" a="1"/>
  <c r="E131" i="4" s="1"/>
  <c r="F131" i="4" a="1"/>
  <c r="F131" i="4" s="1"/>
  <c r="B132" i="4" a="1"/>
  <c r="B132" i="4" s="1"/>
  <c r="C132" i="4" a="1"/>
  <c r="C132" i="4" s="1"/>
  <c r="D132" i="4" a="1"/>
  <c r="D132" i="4" s="1"/>
  <c r="E132" i="4" a="1"/>
  <c r="E132" i="4" s="1"/>
  <c r="F132" i="4" a="1"/>
  <c r="F132" i="4" s="1"/>
  <c r="B133" i="4" a="1"/>
  <c r="B133" i="4" s="1"/>
  <c r="C133" i="4" a="1"/>
  <c r="C133" i="4" s="1"/>
  <c r="D133" i="4" a="1"/>
  <c r="D133" i="4" s="1"/>
  <c r="E133" i="4" a="1"/>
  <c r="E133" i="4" s="1"/>
  <c r="F133" i="4" a="1"/>
  <c r="F133" i="4" s="1"/>
  <c r="B134" i="4" a="1"/>
  <c r="B134" i="4" s="1"/>
  <c r="C134" i="4" a="1"/>
  <c r="C134" i="4" s="1"/>
  <c r="D134" i="4" a="1"/>
  <c r="D134" i="4" s="1"/>
  <c r="E134" i="4" a="1"/>
  <c r="E134" i="4" s="1"/>
  <c r="F134" i="4" a="1"/>
  <c r="F134" i="4" s="1"/>
  <c r="B135" i="4" a="1"/>
  <c r="B135" i="4" s="1"/>
  <c r="C135" i="4" a="1"/>
  <c r="C135" i="4" s="1"/>
  <c r="D135" i="4" a="1"/>
  <c r="D135" i="4" s="1"/>
  <c r="E135" i="4" a="1"/>
  <c r="E135" i="4" s="1"/>
  <c r="F135" i="4" a="1"/>
  <c r="F135" i="4" s="1"/>
  <c r="B136" i="4" a="1"/>
  <c r="B136" i="4" s="1"/>
  <c r="C136" i="4" a="1"/>
  <c r="C136" i="4" s="1"/>
  <c r="D136" i="4" a="1"/>
  <c r="D136" i="4" s="1"/>
  <c r="E136" i="4" a="1"/>
  <c r="E136" i="4" s="1"/>
  <c r="F136" i="4" a="1"/>
  <c r="F136" i="4" s="1"/>
  <c r="B137" i="4" a="1"/>
  <c r="B137" i="4" s="1"/>
  <c r="C137" i="4" a="1"/>
  <c r="C137" i="4" s="1"/>
  <c r="D137" i="4" a="1"/>
  <c r="D137" i="4" s="1"/>
  <c r="E137" i="4" a="1"/>
  <c r="E137" i="4" s="1"/>
  <c r="F137" i="4" a="1"/>
  <c r="F137" i="4" s="1"/>
  <c r="B138" i="4" a="1"/>
  <c r="B138" i="4" s="1"/>
  <c r="C138" i="4" a="1"/>
  <c r="C138" i="4" s="1"/>
  <c r="D138" i="4" a="1"/>
  <c r="D138" i="4" s="1"/>
  <c r="E138" i="4" a="1"/>
  <c r="E138" i="4" s="1"/>
  <c r="F138" i="4" a="1"/>
  <c r="F138" i="4" s="1"/>
  <c r="B139" i="4" a="1"/>
  <c r="B139" i="4" s="1"/>
  <c r="C139" i="4" a="1"/>
  <c r="C139" i="4" s="1"/>
  <c r="D139" i="4" a="1"/>
  <c r="D139" i="4" s="1"/>
  <c r="E139" i="4" a="1"/>
  <c r="E139" i="4" s="1"/>
  <c r="F139" i="4" a="1"/>
  <c r="F139" i="4" s="1"/>
  <c r="B140" i="4" a="1"/>
  <c r="B140" i="4" s="1"/>
  <c r="C140" i="4" a="1"/>
  <c r="C140" i="4" s="1"/>
  <c r="D140" i="4" a="1"/>
  <c r="D140" i="4" s="1"/>
  <c r="E140" i="4" a="1"/>
  <c r="E140" i="4" s="1"/>
  <c r="F140" i="4" a="1"/>
  <c r="F140" i="4" s="1"/>
  <c r="B141" i="4" a="1"/>
  <c r="B141" i="4" s="1"/>
  <c r="C141" i="4" a="1"/>
  <c r="C141" i="4" s="1"/>
  <c r="D141" i="4" a="1"/>
  <c r="D141" i="4" s="1"/>
  <c r="E141" i="4" a="1"/>
  <c r="E141" i="4" s="1"/>
  <c r="F141" i="4" a="1"/>
  <c r="F141" i="4" s="1"/>
  <c r="B142" i="4" a="1"/>
  <c r="B142" i="4" s="1"/>
  <c r="C142" i="4" a="1"/>
  <c r="C142" i="4" s="1"/>
  <c r="D142" i="4" a="1"/>
  <c r="D142" i="4" s="1"/>
  <c r="E142" i="4" a="1"/>
  <c r="E142" i="4" s="1"/>
  <c r="F142" i="4" a="1"/>
  <c r="F142" i="4" s="1"/>
  <c r="B143" i="4" a="1"/>
  <c r="B143" i="4" s="1"/>
  <c r="C143" i="4" a="1"/>
  <c r="C143" i="4" s="1"/>
  <c r="D143" i="4" a="1"/>
  <c r="D143" i="4" s="1"/>
  <c r="E143" i="4" a="1"/>
  <c r="E143" i="4" s="1"/>
  <c r="F143" i="4" a="1"/>
  <c r="F143" i="4" s="1"/>
  <c r="B144" i="4" a="1"/>
  <c r="B144" i="4" s="1"/>
  <c r="C144" i="4" a="1"/>
  <c r="C144" i="4" s="1"/>
  <c r="D144" i="4" a="1"/>
  <c r="D144" i="4" s="1"/>
  <c r="E144" i="4" a="1"/>
  <c r="E144" i="4" s="1"/>
  <c r="F144" i="4" a="1"/>
  <c r="F144" i="4" s="1"/>
  <c r="B145" i="4" a="1"/>
  <c r="B145" i="4" s="1"/>
  <c r="C145" i="4" a="1"/>
  <c r="C145" i="4" s="1"/>
  <c r="D145" i="4" a="1"/>
  <c r="D145" i="4" s="1"/>
  <c r="E145" i="4" a="1"/>
  <c r="E145" i="4" s="1"/>
  <c r="F145" i="4" a="1"/>
  <c r="F145" i="4" s="1"/>
  <c r="B146" i="4" a="1"/>
  <c r="B146" i="4" s="1"/>
  <c r="C146" i="4" a="1"/>
  <c r="C146" i="4" s="1"/>
  <c r="D146" i="4" a="1"/>
  <c r="D146" i="4" s="1"/>
  <c r="E146" i="4" a="1"/>
  <c r="E146" i="4" s="1"/>
  <c r="F146" i="4" a="1"/>
  <c r="F146" i="4" s="1"/>
  <c r="B147" i="4" a="1"/>
  <c r="B147" i="4" s="1"/>
  <c r="C147" i="4" a="1"/>
  <c r="C147" i="4" s="1"/>
  <c r="D147" i="4" a="1"/>
  <c r="D147" i="4" s="1"/>
  <c r="E147" i="4" a="1"/>
  <c r="E147" i="4" s="1"/>
  <c r="F147" i="4" a="1"/>
  <c r="F147" i="4" s="1"/>
  <c r="B148" i="4" a="1"/>
  <c r="B148" i="4" s="1"/>
  <c r="C148" i="4" a="1"/>
  <c r="C148" i="4" s="1"/>
  <c r="D148" i="4" a="1"/>
  <c r="D148" i="4" s="1"/>
  <c r="E148" i="4" a="1"/>
  <c r="E148" i="4" s="1"/>
  <c r="F148" i="4" a="1"/>
  <c r="F148" i="4" s="1"/>
  <c r="B149" i="4" a="1"/>
  <c r="B149" i="4" s="1"/>
  <c r="C149" i="4" a="1"/>
  <c r="C149" i="4" s="1"/>
  <c r="D149" i="4" a="1"/>
  <c r="D149" i="4" s="1"/>
  <c r="E149" i="4" a="1"/>
  <c r="E149" i="4" s="1"/>
  <c r="F149" i="4" a="1"/>
  <c r="F149" i="4" s="1"/>
  <c r="B150" i="4" a="1"/>
  <c r="B150" i="4" s="1"/>
  <c r="C150" i="4" a="1"/>
  <c r="C150" i="4" s="1"/>
  <c r="D150" i="4" a="1"/>
  <c r="D150" i="4" s="1"/>
  <c r="E150" i="4" a="1"/>
  <c r="E150" i="4" s="1"/>
  <c r="F150" i="4" a="1"/>
  <c r="F150" i="4" s="1"/>
  <c r="B151" i="4" a="1"/>
  <c r="B151" i="4" s="1"/>
  <c r="C151" i="4" a="1"/>
  <c r="C151" i="4" s="1"/>
  <c r="D151" i="4" a="1"/>
  <c r="D151" i="4" s="1"/>
  <c r="E151" i="4" a="1"/>
  <c r="E151" i="4" s="1"/>
  <c r="F151" i="4" a="1"/>
  <c r="F151" i="4" s="1"/>
  <c r="B152" i="4" a="1"/>
  <c r="B152" i="4" s="1"/>
  <c r="C152" i="4" a="1"/>
  <c r="C152" i="4" s="1"/>
  <c r="D152" i="4" a="1"/>
  <c r="D152" i="4" s="1"/>
  <c r="E152" i="4" a="1"/>
  <c r="E152" i="4" s="1"/>
  <c r="F152" i="4" a="1"/>
  <c r="F152" i="4" s="1"/>
  <c r="B153" i="4" a="1"/>
  <c r="B153" i="4" s="1"/>
  <c r="C153" i="4" a="1"/>
  <c r="C153" i="4" s="1"/>
  <c r="D153" i="4" a="1"/>
  <c r="D153" i="4" s="1"/>
  <c r="E153" i="4" a="1"/>
  <c r="E153" i="4" s="1"/>
  <c r="F153" i="4" a="1"/>
  <c r="F153" i="4" s="1"/>
  <c r="B154" i="4" a="1"/>
  <c r="B154" i="4" s="1"/>
  <c r="C154" i="4" a="1"/>
  <c r="C154" i="4" s="1"/>
  <c r="D154" i="4" a="1"/>
  <c r="D154" i="4" s="1"/>
  <c r="E154" i="4" a="1"/>
  <c r="E154" i="4" s="1"/>
  <c r="F154" i="4" a="1"/>
  <c r="F154" i="4" s="1"/>
  <c r="B155" i="4" a="1"/>
  <c r="B155" i="4" s="1"/>
  <c r="C155" i="4" a="1"/>
  <c r="C155" i="4" s="1"/>
  <c r="D155" i="4" a="1"/>
  <c r="D155" i="4" s="1"/>
  <c r="E155" i="4" a="1"/>
  <c r="E155" i="4" s="1"/>
  <c r="F155" i="4" a="1"/>
  <c r="F155" i="4" s="1"/>
  <c r="B156" i="4" a="1"/>
  <c r="B156" i="4" s="1"/>
  <c r="C156" i="4" a="1"/>
  <c r="C156" i="4" s="1"/>
  <c r="D156" i="4" a="1"/>
  <c r="D156" i="4" s="1"/>
  <c r="E156" i="4" a="1"/>
  <c r="E156" i="4" s="1"/>
  <c r="F156" i="4" a="1"/>
  <c r="F156" i="4" s="1"/>
  <c r="B157" i="4" a="1"/>
  <c r="B157" i="4" s="1"/>
  <c r="C157" i="4" a="1"/>
  <c r="C157" i="4" s="1"/>
  <c r="D157" i="4" a="1"/>
  <c r="D157" i="4" s="1"/>
  <c r="E157" i="4" a="1"/>
  <c r="E157" i="4" s="1"/>
  <c r="F157" i="4" a="1"/>
  <c r="F157" i="4" s="1"/>
  <c r="B158" i="4" a="1"/>
  <c r="B158" i="4" s="1"/>
  <c r="C158" i="4" a="1"/>
  <c r="C158" i="4" s="1"/>
  <c r="D158" i="4" a="1"/>
  <c r="D158" i="4" s="1"/>
  <c r="E158" i="4" a="1"/>
  <c r="E158" i="4" s="1"/>
  <c r="F158" i="4" a="1"/>
  <c r="F158" i="4" s="1"/>
  <c r="B159" i="4" a="1"/>
  <c r="B159" i="4" s="1"/>
  <c r="C159" i="4" a="1"/>
  <c r="C159" i="4" s="1"/>
  <c r="D159" i="4" a="1"/>
  <c r="D159" i="4" s="1"/>
  <c r="E159" i="4" a="1"/>
  <c r="E159" i="4" s="1"/>
  <c r="F159" i="4" a="1"/>
  <c r="F159" i="4" s="1"/>
  <c r="B160" i="4" a="1"/>
  <c r="B160" i="4" s="1"/>
  <c r="C160" i="4" a="1"/>
  <c r="C160" i="4" s="1"/>
  <c r="D160" i="4" a="1"/>
  <c r="D160" i="4" s="1"/>
  <c r="E160" i="4" a="1"/>
  <c r="E160" i="4" s="1"/>
  <c r="F160" i="4" a="1"/>
  <c r="F160" i="4" s="1"/>
  <c r="B161" i="4" a="1"/>
  <c r="B161" i="4" s="1"/>
  <c r="C161" i="4" a="1"/>
  <c r="C161" i="4" s="1"/>
  <c r="D161" i="4" a="1"/>
  <c r="D161" i="4" s="1"/>
  <c r="E161" i="4" a="1"/>
  <c r="E161" i="4" s="1"/>
  <c r="F161" i="4" a="1"/>
  <c r="F161" i="4" s="1"/>
  <c r="B162" i="4" a="1"/>
  <c r="B162" i="4" s="1"/>
  <c r="C162" i="4" a="1"/>
  <c r="C162" i="4" s="1"/>
  <c r="D162" i="4" a="1"/>
  <c r="D162" i="4" s="1"/>
  <c r="E162" i="4" a="1"/>
  <c r="E162" i="4" s="1"/>
  <c r="F162" i="4" a="1"/>
  <c r="F162" i="4" s="1"/>
  <c r="B163" i="4" a="1"/>
  <c r="B163" i="4" s="1"/>
  <c r="C163" i="4" a="1"/>
  <c r="C163" i="4" s="1"/>
  <c r="D163" i="4" a="1"/>
  <c r="D163" i="4" s="1"/>
  <c r="E163" i="4" a="1"/>
  <c r="E163" i="4" s="1"/>
  <c r="F163" i="4" a="1"/>
  <c r="F163" i="4" s="1"/>
  <c r="B164" i="4" a="1"/>
  <c r="B164" i="4" s="1"/>
  <c r="C164" i="4" a="1"/>
  <c r="C164" i="4" s="1"/>
  <c r="D164" i="4" a="1"/>
  <c r="D164" i="4" s="1"/>
  <c r="E164" i="4" a="1"/>
  <c r="E164" i="4" s="1"/>
  <c r="F164" i="4" a="1"/>
  <c r="F164" i="4" s="1"/>
  <c r="B165" i="4" a="1"/>
  <c r="B165" i="4" s="1"/>
  <c r="C165" i="4" a="1"/>
  <c r="C165" i="4" s="1"/>
  <c r="D165" i="4" a="1"/>
  <c r="D165" i="4" s="1"/>
  <c r="E165" i="4" a="1"/>
  <c r="E165" i="4" s="1"/>
  <c r="F165" i="4" a="1"/>
  <c r="F165" i="4" s="1"/>
  <c r="B166" i="4" a="1"/>
  <c r="B166" i="4" s="1"/>
  <c r="C166" i="4" a="1"/>
  <c r="C166" i="4" s="1"/>
  <c r="D166" i="4" a="1"/>
  <c r="D166" i="4" s="1"/>
  <c r="E166" i="4" a="1"/>
  <c r="E166" i="4" s="1"/>
  <c r="F166" i="4" a="1"/>
  <c r="F166" i="4" s="1"/>
  <c r="B167" i="4" a="1"/>
  <c r="B167" i="4" s="1"/>
  <c r="C167" i="4" a="1"/>
  <c r="C167" i="4" s="1"/>
  <c r="D167" i="4" a="1"/>
  <c r="D167" i="4" s="1"/>
  <c r="E167" i="4" a="1"/>
  <c r="E167" i="4" s="1"/>
  <c r="F167" i="4" a="1"/>
  <c r="F167" i="4" s="1"/>
  <c r="B168" i="4" a="1"/>
  <c r="B168" i="4" s="1"/>
  <c r="C168" i="4" a="1"/>
  <c r="C168" i="4" s="1"/>
  <c r="D168" i="4" a="1"/>
  <c r="D168" i="4" s="1"/>
  <c r="E168" i="4" a="1"/>
  <c r="E168" i="4" s="1"/>
  <c r="F168" i="4" a="1"/>
  <c r="F168" i="4" s="1"/>
  <c r="B169" i="4" a="1"/>
  <c r="B169" i="4" s="1"/>
  <c r="C169" i="4" a="1"/>
  <c r="C169" i="4" s="1"/>
  <c r="D169" i="4" a="1"/>
  <c r="D169" i="4" s="1"/>
  <c r="E169" i="4" a="1"/>
  <c r="E169" i="4" s="1"/>
  <c r="F169" i="4" a="1"/>
  <c r="F169" i="4" s="1"/>
  <c r="B170" i="4" a="1"/>
  <c r="B170" i="4" s="1"/>
  <c r="C170" i="4" a="1"/>
  <c r="C170" i="4" s="1"/>
  <c r="D170" i="4" a="1"/>
  <c r="D170" i="4" s="1"/>
  <c r="E170" i="4" a="1"/>
  <c r="E170" i="4" s="1"/>
  <c r="F170" i="4" a="1"/>
  <c r="F170" i="4" s="1"/>
  <c r="B171" i="4" a="1"/>
  <c r="B171" i="4" s="1"/>
  <c r="C171" i="4" a="1"/>
  <c r="C171" i="4" s="1"/>
  <c r="D171" i="4" a="1"/>
  <c r="D171" i="4" s="1"/>
  <c r="E171" i="4" a="1"/>
  <c r="E171" i="4" s="1"/>
  <c r="F171" i="4" a="1"/>
  <c r="F171" i="4" s="1"/>
  <c r="B172" i="4" a="1"/>
  <c r="B172" i="4" s="1"/>
  <c r="C172" i="4" a="1"/>
  <c r="C172" i="4" s="1"/>
  <c r="D172" i="4" a="1"/>
  <c r="D172" i="4" s="1"/>
  <c r="E172" i="4" a="1"/>
  <c r="E172" i="4" s="1"/>
  <c r="F172" i="4" a="1"/>
  <c r="F172" i="4" s="1"/>
  <c r="B173" i="4" a="1"/>
  <c r="B173" i="4" s="1"/>
  <c r="C173" i="4" a="1"/>
  <c r="C173" i="4" s="1"/>
  <c r="D173" i="4" a="1"/>
  <c r="D173" i="4" s="1"/>
  <c r="E173" i="4" a="1"/>
  <c r="E173" i="4" s="1"/>
  <c r="F173" i="4" a="1"/>
  <c r="F173" i="4" s="1"/>
  <c r="B174" i="4" a="1"/>
  <c r="B174" i="4" s="1"/>
  <c r="C174" i="4" a="1"/>
  <c r="C174" i="4" s="1"/>
  <c r="D174" i="4" a="1"/>
  <c r="D174" i="4" s="1"/>
  <c r="E174" i="4" a="1"/>
  <c r="E174" i="4" s="1"/>
  <c r="F174" i="4" a="1"/>
  <c r="F174" i="4" s="1"/>
  <c r="B175" i="4" a="1"/>
  <c r="B175" i="4" s="1"/>
  <c r="C175" i="4" a="1"/>
  <c r="C175" i="4" s="1"/>
  <c r="D175" i="4" a="1"/>
  <c r="D175" i="4" s="1"/>
  <c r="E175" i="4" a="1"/>
  <c r="E175" i="4" s="1"/>
  <c r="F175" i="4" a="1"/>
  <c r="F175" i="4" s="1"/>
  <c r="B176" i="4" a="1"/>
  <c r="B176" i="4" s="1"/>
  <c r="C176" i="4" a="1"/>
  <c r="C176" i="4" s="1"/>
  <c r="D176" i="4" a="1"/>
  <c r="D176" i="4" s="1"/>
  <c r="E176" i="4" a="1"/>
  <c r="E176" i="4" s="1"/>
  <c r="F176" i="4" a="1"/>
  <c r="F176" i="4" s="1"/>
  <c r="B177" i="4" a="1"/>
  <c r="B177" i="4" s="1"/>
  <c r="C177" i="4" a="1"/>
  <c r="C177" i="4" s="1"/>
  <c r="D177" i="4" a="1"/>
  <c r="D177" i="4" s="1"/>
  <c r="E177" i="4" a="1"/>
  <c r="E177" i="4" s="1"/>
  <c r="F177" i="4" a="1"/>
  <c r="F177" i="4" s="1"/>
  <c r="B178" i="4" a="1"/>
  <c r="B178" i="4" s="1"/>
  <c r="C178" i="4" a="1"/>
  <c r="C178" i="4" s="1"/>
  <c r="D178" i="4" a="1"/>
  <c r="D178" i="4" s="1"/>
  <c r="E178" i="4" a="1"/>
  <c r="E178" i="4" s="1"/>
  <c r="F178" i="4" a="1"/>
  <c r="F178" i="4" s="1"/>
  <c r="B179" i="4" a="1"/>
  <c r="B179" i="4" s="1"/>
  <c r="C179" i="4" a="1"/>
  <c r="C179" i="4" s="1"/>
  <c r="D179" i="4" a="1"/>
  <c r="D179" i="4" s="1"/>
  <c r="E179" i="4" a="1"/>
  <c r="E179" i="4" s="1"/>
  <c r="F179" i="4" a="1"/>
  <c r="F179" i="4" s="1"/>
  <c r="B180" i="4" a="1"/>
  <c r="B180" i="4" s="1"/>
  <c r="C180" i="4" a="1"/>
  <c r="C180" i="4" s="1"/>
  <c r="D180" i="4" a="1"/>
  <c r="D180" i="4" s="1"/>
  <c r="E180" i="4" a="1"/>
  <c r="E180" i="4" s="1"/>
  <c r="F180" i="4" a="1"/>
  <c r="F180" i="4" s="1"/>
  <c r="B181" i="4" a="1"/>
  <c r="B181" i="4" s="1"/>
  <c r="C181" i="4" a="1"/>
  <c r="C181" i="4" s="1"/>
  <c r="D181" i="4" a="1"/>
  <c r="D181" i="4" s="1"/>
  <c r="E181" i="4" a="1"/>
  <c r="E181" i="4" s="1"/>
  <c r="F181" i="4" a="1"/>
  <c r="F181" i="4" s="1"/>
  <c r="B182" i="4" a="1"/>
  <c r="B182" i="4" s="1"/>
  <c r="C182" i="4" a="1"/>
  <c r="C182" i="4" s="1"/>
  <c r="D182" i="4" a="1"/>
  <c r="D182" i="4" s="1"/>
  <c r="E182" i="4" a="1"/>
  <c r="E182" i="4" s="1"/>
  <c r="F182" i="4" a="1"/>
  <c r="F182" i="4" s="1"/>
  <c r="B183" i="4" a="1"/>
  <c r="B183" i="4" s="1"/>
  <c r="C183" i="4" a="1"/>
  <c r="C183" i="4" s="1"/>
  <c r="D183" i="4" a="1"/>
  <c r="D183" i="4" s="1"/>
  <c r="E183" i="4" a="1"/>
  <c r="E183" i="4" s="1"/>
  <c r="F183" i="4" a="1"/>
  <c r="F183" i="4" s="1"/>
  <c r="B184" i="4" a="1"/>
  <c r="B184" i="4" s="1"/>
  <c r="C184" i="4" a="1"/>
  <c r="C184" i="4" s="1"/>
  <c r="D184" i="4" a="1"/>
  <c r="D184" i="4" s="1"/>
  <c r="E184" i="4" a="1"/>
  <c r="E184" i="4" s="1"/>
  <c r="F184" i="4" a="1"/>
  <c r="F184" i="4" s="1"/>
  <c r="B185" i="4" a="1"/>
  <c r="B185" i="4" s="1"/>
  <c r="C185" i="4" a="1"/>
  <c r="C185" i="4" s="1"/>
  <c r="D185" i="4" a="1"/>
  <c r="D185" i="4" s="1"/>
  <c r="E185" i="4" a="1"/>
  <c r="E185" i="4" s="1"/>
  <c r="F185" i="4" a="1"/>
  <c r="F185" i="4" s="1"/>
  <c r="B186" i="4" a="1"/>
  <c r="B186" i="4" s="1"/>
  <c r="C186" i="4" a="1"/>
  <c r="C186" i="4" s="1"/>
  <c r="D186" i="4" a="1"/>
  <c r="D186" i="4" s="1"/>
  <c r="E186" i="4" a="1"/>
  <c r="E186" i="4" s="1"/>
  <c r="F186" i="4" a="1"/>
  <c r="F186" i="4" s="1"/>
  <c r="B187" i="4" a="1"/>
  <c r="B187" i="4" s="1"/>
  <c r="C187" i="4" a="1"/>
  <c r="C187" i="4" s="1"/>
  <c r="D187" i="4" a="1"/>
  <c r="D187" i="4" s="1"/>
  <c r="E187" i="4" a="1"/>
  <c r="E187" i="4" s="1"/>
  <c r="F187" i="4" a="1"/>
  <c r="F187" i="4" s="1"/>
  <c r="B188" i="4" a="1"/>
  <c r="B188" i="4" s="1"/>
  <c r="C188" i="4" a="1"/>
  <c r="C188" i="4" s="1"/>
  <c r="D188" i="4" a="1"/>
  <c r="D188" i="4" s="1"/>
  <c r="E188" i="4" a="1"/>
  <c r="E188" i="4" s="1"/>
  <c r="F188" i="4" a="1"/>
  <c r="F188" i="4" s="1"/>
  <c r="B189" i="4" a="1"/>
  <c r="B189" i="4" s="1"/>
  <c r="C189" i="4" a="1"/>
  <c r="C189" i="4" s="1"/>
  <c r="D189" i="4" a="1"/>
  <c r="D189" i="4" s="1"/>
  <c r="E189" i="4" a="1"/>
  <c r="E189" i="4" s="1"/>
  <c r="F189" i="4" a="1"/>
  <c r="F189" i="4" s="1"/>
  <c r="B190" i="4" a="1"/>
  <c r="B190" i="4" s="1"/>
  <c r="C190" i="4" a="1"/>
  <c r="C190" i="4" s="1"/>
  <c r="D190" i="4" a="1"/>
  <c r="D190" i="4" s="1"/>
  <c r="E190" i="4" a="1"/>
  <c r="E190" i="4" s="1"/>
  <c r="F190" i="4" a="1"/>
  <c r="F190" i="4" s="1"/>
  <c r="B191" i="4" a="1"/>
  <c r="B191" i="4" s="1"/>
  <c r="C191" i="4" a="1"/>
  <c r="C191" i="4" s="1"/>
  <c r="D191" i="4" a="1"/>
  <c r="D191" i="4" s="1"/>
  <c r="E191" i="4" a="1"/>
  <c r="E191" i="4" s="1"/>
  <c r="F191" i="4" a="1"/>
  <c r="F191" i="4" s="1"/>
  <c r="B192" i="4" a="1"/>
  <c r="B192" i="4" s="1"/>
  <c r="C192" i="4" a="1"/>
  <c r="C192" i="4" s="1"/>
  <c r="D192" i="4" a="1"/>
  <c r="D192" i="4" s="1"/>
  <c r="E192" i="4" a="1"/>
  <c r="E192" i="4" s="1"/>
  <c r="F192" i="4" a="1"/>
  <c r="F192" i="4" s="1"/>
  <c r="B193" i="4" a="1"/>
  <c r="B193" i="4" s="1"/>
  <c r="C193" i="4" a="1"/>
  <c r="C193" i="4" s="1"/>
  <c r="D193" i="4" a="1"/>
  <c r="D193" i="4" s="1"/>
  <c r="E193" i="4" a="1"/>
  <c r="E193" i="4" s="1"/>
  <c r="F193" i="4" a="1"/>
  <c r="F193" i="4" s="1"/>
  <c r="B194" i="4" a="1"/>
  <c r="B194" i="4" s="1"/>
  <c r="C194" i="4" a="1"/>
  <c r="C194" i="4" s="1"/>
  <c r="D194" i="4" a="1"/>
  <c r="D194" i="4" s="1"/>
  <c r="E194" i="4" a="1"/>
  <c r="E194" i="4" s="1"/>
  <c r="F194" i="4" a="1"/>
  <c r="F194" i="4" s="1"/>
  <c r="B195" i="4" a="1"/>
  <c r="B195" i="4" s="1"/>
  <c r="C195" i="4" a="1"/>
  <c r="C195" i="4" s="1"/>
  <c r="D195" i="4" a="1"/>
  <c r="D195" i="4" s="1"/>
  <c r="E195" i="4" a="1"/>
  <c r="E195" i="4" s="1"/>
  <c r="F195" i="4" a="1"/>
  <c r="F195" i="4" s="1"/>
  <c r="B196" i="4" a="1"/>
  <c r="B196" i="4" s="1"/>
  <c r="C196" i="4" a="1"/>
  <c r="C196" i="4" s="1"/>
  <c r="D196" i="4" a="1"/>
  <c r="D196" i="4" s="1"/>
  <c r="E196" i="4" a="1"/>
  <c r="E196" i="4" s="1"/>
  <c r="F196" i="4" a="1"/>
  <c r="F196" i="4" s="1"/>
  <c r="B197" i="4" a="1"/>
  <c r="B197" i="4" s="1"/>
  <c r="C197" i="4" a="1"/>
  <c r="C197" i="4" s="1"/>
  <c r="D197" i="4" a="1"/>
  <c r="D197" i="4" s="1"/>
  <c r="E197" i="4" a="1"/>
  <c r="E197" i="4" s="1"/>
  <c r="F197" i="4" a="1"/>
  <c r="F197" i="4" s="1"/>
  <c r="B198" i="4" a="1"/>
  <c r="B198" i="4" s="1"/>
  <c r="C198" i="4" a="1"/>
  <c r="C198" i="4" s="1"/>
  <c r="D198" i="4" a="1"/>
  <c r="D198" i="4" s="1"/>
  <c r="E198" i="4" a="1"/>
  <c r="E198" i="4" s="1"/>
  <c r="F198" i="4" a="1"/>
  <c r="F198" i="4" s="1"/>
  <c r="B199" i="4" a="1"/>
  <c r="B199" i="4" s="1"/>
  <c r="C199" i="4" a="1"/>
  <c r="C199" i="4" s="1"/>
  <c r="D199" i="4" a="1"/>
  <c r="D199" i="4" s="1"/>
  <c r="E199" i="4" a="1"/>
  <c r="E199" i="4" s="1"/>
  <c r="F199" i="4" a="1"/>
  <c r="F199" i="4" s="1"/>
  <c r="B200" i="4" a="1"/>
  <c r="B200" i="4" s="1"/>
  <c r="C200" i="4" a="1"/>
  <c r="C200" i="4" s="1"/>
  <c r="D200" i="4" a="1"/>
  <c r="D200" i="4" s="1"/>
  <c r="E200" i="4" a="1"/>
  <c r="E200" i="4" s="1"/>
  <c r="F200" i="4" a="1"/>
  <c r="F200" i="4" s="1"/>
  <c r="B201" i="4" a="1"/>
  <c r="B201" i="4" s="1"/>
  <c r="C201" i="4" a="1"/>
  <c r="C201" i="4" s="1"/>
  <c r="D201" i="4" a="1"/>
  <c r="D201" i="4" s="1"/>
  <c r="E201" i="4" a="1"/>
  <c r="E201" i="4" s="1"/>
  <c r="F201" i="4" a="1"/>
  <c r="F201" i="4" s="1"/>
  <c r="B202" i="4" a="1"/>
  <c r="B202" i="4" s="1"/>
  <c r="C202" i="4" a="1"/>
  <c r="C202" i="4" s="1"/>
  <c r="D202" i="4" a="1"/>
  <c r="D202" i="4" s="1"/>
  <c r="E202" i="4" a="1"/>
  <c r="E202" i="4" s="1"/>
  <c r="F202" i="4" a="1"/>
  <c r="F202" i="4" s="1"/>
  <c r="B203" i="4" a="1"/>
  <c r="B203" i="4" s="1"/>
  <c r="C203" i="4" a="1"/>
  <c r="C203" i="4" s="1"/>
  <c r="D203" i="4" a="1"/>
  <c r="D203" i="4" s="1"/>
  <c r="E203" i="4" a="1"/>
  <c r="E203" i="4" s="1"/>
  <c r="F203" i="4" a="1"/>
  <c r="F203" i="4" s="1"/>
  <c r="B204" i="4" a="1"/>
  <c r="B204" i="4" s="1"/>
  <c r="C204" i="4" a="1"/>
  <c r="C204" i="4" s="1"/>
  <c r="D204" i="4" a="1"/>
  <c r="D204" i="4" s="1"/>
  <c r="E204" i="4" a="1"/>
  <c r="E204" i="4" s="1"/>
  <c r="F204" i="4" a="1"/>
  <c r="F204" i="4" s="1"/>
  <c r="B205" i="4" a="1"/>
  <c r="B205" i="4" s="1"/>
  <c r="C205" i="4" a="1"/>
  <c r="C205" i="4" s="1"/>
  <c r="D205" i="4" a="1"/>
  <c r="D205" i="4" s="1"/>
  <c r="E205" i="4" a="1"/>
  <c r="E205" i="4" s="1"/>
  <c r="F205" i="4" a="1"/>
  <c r="F205" i="4" s="1"/>
  <c r="B206" i="4" a="1"/>
  <c r="B206" i="4" s="1"/>
  <c r="C206" i="4" a="1"/>
  <c r="C206" i="4" s="1"/>
  <c r="D206" i="4" a="1"/>
  <c r="D206" i="4" s="1"/>
  <c r="E206" i="4" a="1"/>
  <c r="E206" i="4" s="1"/>
  <c r="F206" i="4" a="1"/>
  <c r="F206" i="4" s="1"/>
  <c r="B207" i="4" a="1"/>
  <c r="B207" i="4" s="1"/>
  <c r="C207" i="4" a="1"/>
  <c r="C207" i="4" s="1"/>
  <c r="D207" i="4" a="1"/>
  <c r="D207" i="4" s="1"/>
  <c r="E207" i="4" a="1"/>
  <c r="E207" i="4" s="1"/>
  <c r="F207" i="4" a="1"/>
  <c r="F207" i="4" s="1"/>
  <c r="B208" i="4" a="1"/>
  <c r="B208" i="4" s="1"/>
  <c r="C208" i="4" a="1"/>
  <c r="C208" i="4" s="1"/>
  <c r="D208" i="4" a="1"/>
  <c r="D208" i="4" s="1"/>
  <c r="E208" i="4" a="1"/>
  <c r="E208" i="4" s="1"/>
  <c r="F208" i="4" a="1"/>
  <c r="F208" i="4" s="1"/>
  <c r="B209" i="4" a="1"/>
  <c r="B209" i="4" s="1"/>
  <c r="C209" i="4" a="1"/>
  <c r="C209" i="4" s="1"/>
  <c r="D209" i="4" a="1"/>
  <c r="D209" i="4" s="1"/>
  <c r="E209" i="4" a="1"/>
  <c r="E209" i="4" s="1"/>
  <c r="F209" i="4" a="1"/>
  <c r="F209" i="4" s="1"/>
  <c r="B210" i="4" a="1"/>
  <c r="B210" i="4" s="1"/>
  <c r="C210" i="4" a="1"/>
  <c r="C210" i="4" s="1"/>
  <c r="D210" i="4" a="1"/>
  <c r="D210" i="4" s="1"/>
  <c r="E210" i="4" a="1"/>
  <c r="E210" i="4" s="1"/>
  <c r="F210" i="4" a="1"/>
  <c r="F210" i="4" s="1"/>
  <c r="B211" i="4" a="1"/>
  <c r="B211" i="4" s="1"/>
  <c r="C211" i="4" a="1"/>
  <c r="C211" i="4" s="1"/>
  <c r="D211" i="4" a="1"/>
  <c r="D211" i="4" s="1"/>
  <c r="E211" i="4" a="1"/>
  <c r="E211" i="4" s="1"/>
  <c r="F211" i="4" a="1"/>
  <c r="F211" i="4" s="1"/>
  <c r="B212" i="4" a="1"/>
  <c r="B212" i="4" s="1"/>
  <c r="C212" i="4" a="1"/>
  <c r="C212" i="4" s="1"/>
  <c r="D212" i="4" a="1"/>
  <c r="D212" i="4" s="1"/>
  <c r="E212" i="4" a="1"/>
  <c r="E212" i="4" s="1"/>
  <c r="F212" i="4" a="1"/>
  <c r="F212" i="4" s="1"/>
  <c r="B213" i="4" a="1"/>
  <c r="B213" i="4" s="1"/>
  <c r="C213" i="4" a="1"/>
  <c r="C213" i="4" s="1"/>
  <c r="D213" i="4" a="1"/>
  <c r="D213" i="4" s="1"/>
  <c r="E213" i="4" a="1"/>
  <c r="E213" i="4" s="1"/>
  <c r="F213" i="4" a="1"/>
  <c r="F213" i="4" s="1"/>
  <c r="B214" i="4" a="1"/>
  <c r="B214" i="4" s="1"/>
  <c r="C214" i="4" a="1"/>
  <c r="C214" i="4" s="1"/>
  <c r="D214" i="4" a="1"/>
  <c r="D214" i="4" s="1"/>
  <c r="E214" i="4" a="1"/>
  <c r="E214" i="4" s="1"/>
  <c r="F214" i="4" a="1"/>
  <c r="F214" i="4" s="1"/>
  <c r="B215" i="4" a="1"/>
  <c r="B215" i="4" s="1"/>
  <c r="C215" i="4" a="1"/>
  <c r="C215" i="4" s="1"/>
  <c r="D215" i="4" a="1"/>
  <c r="D215" i="4" s="1"/>
  <c r="E215" i="4" a="1"/>
  <c r="E215" i="4" s="1"/>
  <c r="F215" i="4" a="1"/>
  <c r="F215" i="4" s="1"/>
  <c r="B216" i="4" a="1"/>
  <c r="B216" i="4" s="1"/>
  <c r="C216" i="4" a="1"/>
  <c r="C216" i="4" s="1"/>
  <c r="D216" i="4" a="1"/>
  <c r="D216" i="4" s="1"/>
  <c r="E216" i="4" a="1"/>
  <c r="E216" i="4" s="1"/>
  <c r="F216" i="4" a="1"/>
  <c r="F216" i="4" s="1"/>
  <c r="B217" i="4" a="1"/>
  <c r="B217" i="4" s="1"/>
  <c r="C217" i="4" a="1"/>
  <c r="C217" i="4" s="1"/>
  <c r="D217" i="4" a="1"/>
  <c r="D217" i="4" s="1"/>
  <c r="E217" i="4" a="1"/>
  <c r="E217" i="4" s="1"/>
  <c r="F217" i="4" a="1"/>
  <c r="F217" i="4" s="1"/>
  <c r="B218" i="4" a="1"/>
  <c r="B218" i="4" s="1"/>
  <c r="C218" i="4" a="1"/>
  <c r="C218" i="4" s="1"/>
  <c r="D218" i="4" a="1"/>
  <c r="D218" i="4" s="1"/>
  <c r="E218" i="4" a="1"/>
  <c r="E218" i="4" s="1"/>
  <c r="F218" i="4" a="1"/>
  <c r="F218" i="4" s="1"/>
  <c r="B219" i="4" a="1"/>
  <c r="B219" i="4" s="1"/>
  <c r="C219" i="4" a="1"/>
  <c r="C219" i="4" s="1"/>
  <c r="D219" i="4" a="1"/>
  <c r="D219" i="4" s="1"/>
  <c r="E219" i="4" a="1"/>
  <c r="E219" i="4" s="1"/>
  <c r="F219" i="4" a="1"/>
  <c r="F219" i="4" s="1"/>
  <c r="B220" i="4" a="1"/>
  <c r="B220" i="4" s="1"/>
  <c r="C220" i="4" a="1"/>
  <c r="C220" i="4" s="1"/>
  <c r="D220" i="4" a="1"/>
  <c r="D220" i="4" s="1"/>
  <c r="E220" i="4" a="1"/>
  <c r="E220" i="4" s="1"/>
  <c r="F220" i="4" a="1"/>
  <c r="F220" i="4" s="1"/>
  <c r="B221" i="4" a="1"/>
  <c r="B221" i="4" s="1"/>
  <c r="C221" i="4" a="1"/>
  <c r="C221" i="4" s="1"/>
  <c r="D221" i="4" a="1"/>
  <c r="D221" i="4" s="1"/>
  <c r="E221" i="4" a="1"/>
  <c r="E221" i="4" s="1"/>
  <c r="F221" i="4" a="1"/>
  <c r="F221" i="4" s="1"/>
  <c r="B222" i="4" a="1"/>
  <c r="B222" i="4" s="1"/>
  <c r="C222" i="4" a="1"/>
  <c r="C222" i="4" s="1"/>
  <c r="D222" i="4" a="1"/>
  <c r="D222" i="4" s="1"/>
  <c r="E222" i="4" a="1"/>
  <c r="E222" i="4" s="1"/>
  <c r="F222" i="4" a="1"/>
  <c r="F222" i="4" s="1"/>
  <c r="B223" i="4" a="1"/>
  <c r="B223" i="4" s="1"/>
  <c r="C223" i="4" a="1"/>
  <c r="C223" i="4" s="1"/>
  <c r="D223" i="4" a="1"/>
  <c r="D223" i="4" s="1"/>
  <c r="E223" i="4" a="1"/>
  <c r="E223" i="4" s="1"/>
  <c r="F223" i="4" a="1"/>
  <c r="F223" i="4" s="1"/>
  <c r="B224" i="4" a="1"/>
  <c r="B224" i="4" s="1"/>
  <c r="C224" i="4" a="1"/>
  <c r="C224" i="4" s="1"/>
  <c r="D224" i="4" a="1"/>
  <c r="D224" i="4" s="1"/>
  <c r="E224" i="4" a="1"/>
  <c r="E224" i="4" s="1"/>
  <c r="F224" i="4" a="1"/>
  <c r="F224" i="4" s="1"/>
  <c r="B225" i="4" a="1"/>
  <c r="B225" i="4" s="1"/>
  <c r="C225" i="4" a="1"/>
  <c r="C225" i="4" s="1"/>
  <c r="D225" i="4" a="1"/>
  <c r="D225" i="4" s="1"/>
  <c r="E225" i="4" a="1"/>
  <c r="E225" i="4" s="1"/>
  <c r="F225" i="4" a="1"/>
  <c r="F225" i="4" s="1"/>
  <c r="B226" i="4" a="1"/>
  <c r="B226" i="4" s="1"/>
  <c r="C226" i="4" a="1"/>
  <c r="C226" i="4" s="1"/>
  <c r="D226" i="4" a="1"/>
  <c r="D226" i="4" s="1"/>
  <c r="E226" i="4" a="1"/>
  <c r="E226" i="4" s="1"/>
  <c r="F226" i="4" a="1"/>
  <c r="F226" i="4" s="1"/>
  <c r="B227" i="4" a="1"/>
  <c r="B227" i="4" s="1"/>
  <c r="C227" i="4" a="1"/>
  <c r="C227" i="4" s="1"/>
  <c r="D227" i="4" a="1"/>
  <c r="D227" i="4" s="1"/>
  <c r="E227" i="4" a="1"/>
  <c r="E227" i="4" s="1"/>
  <c r="F227" i="4" a="1"/>
  <c r="F227" i="4" s="1"/>
  <c r="B228" i="4" a="1"/>
  <c r="B228" i="4" s="1"/>
  <c r="C228" i="4" a="1"/>
  <c r="C228" i="4" s="1"/>
  <c r="D228" i="4" a="1"/>
  <c r="D228" i="4" s="1"/>
  <c r="E228" i="4" a="1"/>
  <c r="E228" i="4" s="1"/>
  <c r="F228" i="4" a="1"/>
  <c r="F228" i="4" s="1"/>
  <c r="B229" i="4" a="1"/>
  <c r="B229" i="4" s="1"/>
  <c r="C229" i="4" a="1"/>
  <c r="C229" i="4" s="1"/>
  <c r="D229" i="4" a="1"/>
  <c r="D229" i="4" s="1"/>
  <c r="E229" i="4" a="1"/>
  <c r="E229" i="4" s="1"/>
  <c r="F229" i="4" a="1"/>
  <c r="F229" i="4" s="1"/>
  <c r="B230" i="4" a="1"/>
  <c r="B230" i="4" s="1"/>
  <c r="C230" i="4" a="1"/>
  <c r="C230" i="4" s="1"/>
  <c r="D230" i="4" a="1"/>
  <c r="D230" i="4" s="1"/>
  <c r="E230" i="4" a="1"/>
  <c r="E230" i="4" s="1"/>
  <c r="F230" i="4" a="1"/>
  <c r="F230" i="4" s="1"/>
  <c r="B231" i="4" a="1"/>
  <c r="B231" i="4" s="1"/>
  <c r="C231" i="4" a="1"/>
  <c r="C231" i="4" s="1"/>
  <c r="D231" i="4" a="1"/>
  <c r="D231" i="4" s="1"/>
  <c r="E231" i="4" a="1"/>
  <c r="E231" i="4" s="1"/>
  <c r="F231" i="4" a="1"/>
  <c r="F231" i="4" s="1"/>
  <c r="B232" i="4" a="1"/>
  <c r="B232" i="4" s="1"/>
  <c r="C232" i="4" a="1"/>
  <c r="C232" i="4" s="1"/>
  <c r="D232" i="4" a="1"/>
  <c r="D232" i="4" s="1"/>
  <c r="E232" i="4" a="1"/>
  <c r="E232" i="4" s="1"/>
  <c r="F232" i="4" a="1"/>
  <c r="F232" i="4" s="1"/>
  <c r="B233" i="4" a="1"/>
  <c r="B233" i="4" s="1"/>
  <c r="C233" i="4" a="1"/>
  <c r="C233" i="4" s="1"/>
  <c r="D233" i="4" a="1"/>
  <c r="D233" i="4" s="1"/>
  <c r="E233" i="4" a="1"/>
  <c r="E233" i="4" s="1"/>
  <c r="F233" i="4" a="1"/>
  <c r="F233" i="4" s="1"/>
  <c r="B234" i="4" a="1"/>
  <c r="B234" i="4" s="1"/>
  <c r="C234" i="4" a="1"/>
  <c r="C234" i="4" s="1"/>
  <c r="D234" i="4" a="1"/>
  <c r="D234" i="4" s="1"/>
  <c r="E234" i="4" a="1"/>
  <c r="E234" i="4" s="1"/>
  <c r="F234" i="4" a="1"/>
  <c r="F234" i="4" s="1"/>
  <c r="B235" i="4" a="1"/>
  <c r="B235" i="4" s="1"/>
  <c r="C235" i="4" a="1"/>
  <c r="C235" i="4" s="1"/>
  <c r="D235" i="4" a="1"/>
  <c r="D235" i="4" s="1"/>
  <c r="E235" i="4" a="1"/>
  <c r="E235" i="4" s="1"/>
  <c r="F235" i="4" a="1"/>
  <c r="F235" i="4" s="1"/>
  <c r="B236" i="4" a="1"/>
  <c r="B236" i="4" s="1"/>
  <c r="C236" i="4" a="1"/>
  <c r="C236" i="4" s="1"/>
  <c r="D236" i="4" a="1"/>
  <c r="D236" i="4" s="1"/>
  <c r="E236" i="4" a="1"/>
  <c r="E236" i="4" s="1"/>
  <c r="F236" i="4" a="1"/>
  <c r="F236" i="4" s="1"/>
  <c r="B237" i="4" a="1"/>
  <c r="B237" i="4" s="1"/>
  <c r="C237" i="4" a="1"/>
  <c r="C237" i="4" s="1"/>
  <c r="D237" i="4" a="1"/>
  <c r="D237" i="4" s="1"/>
  <c r="E237" i="4" a="1"/>
  <c r="E237" i="4" s="1"/>
  <c r="F237" i="4" a="1"/>
  <c r="F237" i="4" s="1"/>
  <c r="B238" i="4" a="1"/>
  <c r="B238" i="4" s="1"/>
  <c r="C238" i="4" a="1"/>
  <c r="C238" i="4" s="1"/>
  <c r="D238" i="4" a="1"/>
  <c r="D238" i="4" s="1"/>
  <c r="E238" i="4" a="1"/>
  <c r="E238" i="4" s="1"/>
  <c r="F238" i="4" a="1"/>
  <c r="F238" i="4" s="1"/>
  <c r="B239" i="4" a="1"/>
  <c r="B239" i="4" s="1"/>
  <c r="C239" i="4" a="1"/>
  <c r="C239" i="4" s="1"/>
  <c r="D239" i="4" a="1"/>
  <c r="D239" i="4" s="1"/>
  <c r="E239" i="4" a="1"/>
  <c r="E239" i="4" s="1"/>
  <c r="F239" i="4" a="1"/>
  <c r="F239" i="4" s="1"/>
  <c r="B240" i="4" a="1"/>
  <c r="B240" i="4" s="1"/>
  <c r="C240" i="4" a="1"/>
  <c r="C240" i="4" s="1"/>
  <c r="D240" i="4" a="1"/>
  <c r="D240" i="4" s="1"/>
  <c r="E240" i="4" a="1"/>
  <c r="E240" i="4" s="1"/>
  <c r="F240" i="4" a="1"/>
  <c r="F240" i="4" s="1"/>
  <c r="B241" i="4" a="1"/>
  <c r="B241" i="4" s="1"/>
  <c r="C241" i="4" a="1"/>
  <c r="C241" i="4" s="1"/>
  <c r="D241" i="4" a="1"/>
  <c r="D241" i="4" s="1"/>
  <c r="E241" i="4" a="1"/>
  <c r="E241" i="4" s="1"/>
  <c r="F241" i="4" a="1"/>
  <c r="F241" i="4" s="1"/>
  <c r="B242" i="4" a="1"/>
  <c r="B242" i="4" s="1"/>
  <c r="C242" i="4" a="1"/>
  <c r="C242" i="4" s="1"/>
  <c r="D242" i="4" a="1"/>
  <c r="D242" i="4" s="1"/>
  <c r="E242" i="4" a="1"/>
  <c r="E242" i="4" s="1"/>
  <c r="F242" i="4" a="1"/>
  <c r="F242" i="4" s="1"/>
  <c r="B243" i="4" a="1"/>
  <c r="B243" i="4" s="1"/>
  <c r="C243" i="4" a="1"/>
  <c r="C243" i="4" s="1"/>
  <c r="D243" i="4" a="1"/>
  <c r="D243" i="4" s="1"/>
  <c r="E243" i="4" a="1"/>
  <c r="E243" i="4" s="1"/>
  <c r="F243" i="4" a="1"/>
  <c r="F243" i="4" s="1"/>
  <c r="B244" i="4" a="1"/>
  <c r="B244" i="4" s="1"/>
  <c r="C244" i="4" a="1"/>
  <c r="C244" i="4" s="1"/>
  <c r="D244" i="4" a="1"/>
  <c r="D244" i="4" s="1"/>
  <c r="E244" i="4" a="1"/>
  <c r="E244" i="4" s="1"/>
  <c r="F244" i="4" a="1"/>
  <c r="F244" i="4" s="1"/>
  <c r="B245" i="4" a="1"/>
  <c r="B245" i="4" s="1"/>
  <c r="C245" i="4" a="1"/>
  <c r="C245" i="4" s="1"/>
  <c r="D245" i="4" a="1"/>
  <c r="D245" i="4" s="1"/>
  <c r="E245" i="4" a="1"/>
  <c r="E245" i="4" s="1"/>
  <c r="F245" i="4" a="1"/>
  <c r="F245" i="4" s="1"/>
  <c r="B246" i="4" a="1"/>
  <c r="B246" i="4" s="1"/>
  <c r="C246" i="4" a="1"/>
  <c r="C246" i="4" s="1"/>
  <c r="D246" i="4" a="1"/>
  <c r="D246" i="4" s="1"/>
  <c r="E246" i="4" a="1"/>
  <c r="E246" i="4" s="1"/>
  <c r="F246" i="4" a="1"/>
  <c r="F246" i="4" s="1"/>
  <c r="B247" i="4" a="1"/>
  <c r="B247" i="4" s="1"/>
  <c r="C247" i="4" a="1"/>
  <c r="C247" i="4" s="1"/>
  <c r="D247" i="4" a="1"/>
  <c r="D247" i="4" s="1"/>
  <c r="E247" i="4" a="1"/>
  <c r="E247" i="4" s="1"/>
  <c r="F247" i="4" a="1"/>
  <c r="F247" i="4" s="1"/>
  <c r="B248" i="4" a="1"/>
  <c r="B248" i="4" s="1"/>
  <c r="C248" i="4" a="1"/>
  <c r="C248" i="4" s="1"/>
  <c r="D248" i="4" a="1"/>
  <c r="D248" i="4" s="1"/>
  <c r="E248" i="4" a="1"/>
  <c r="E248" i="4" s="1"/>
  <c r="F248" i="4" a="1"/>
  <c r="F248" i="4" s="1"/>
  <c r="B249" i="4" a="1"/>
  <c r="B249" i="4" s="1"/>
  <c r="C249" i="4" a="1"/>
  <c r="C249" i="4" s="1"/>
  <c r="D249" i="4" a="1"/>
  <c r="D249" i="4" s="1"/>
  <c r="E249" i="4" a="1"/>
  <c r="E249" i="4" s="1"/>
  <c r="F249" i="4" a="1"/>
  <c r="F249" i="4" s="1"/>
  <c r="B250" i="4" a="1"/>
  <c r="B250" i="4" s="1"/>
  <c r="C250" i="4" a="1"/>
  <c r="C250" i="4" s="1"/>
  <c r="D250" i="4" a="1"/>
  <c r="D250" i="4" s="1"/>
  <c r="E250" i="4" a="1"/>
  <c r="E250" i="4" s="1"/>
  <c r="F250" i="4" a="1"/>
  <c r="F250" i="4" s="1"/>
  <c r="B251" i="4" a="1"/>
  <c r="B251" i="4" s="1"/>
  <c r="C251" i="4" a="1"/>
  <c r="C251" i="4" s="1"/>
  <c r="D251" i="4" a="1"/>
  <c r="D251" i="4" s="1"/>
  <c r="E251" i="4" a="1"/>
  <c r="E251" i="4" s="1"/>
  <c r="F251" i="4" a="1"/>
  <c r="F251" i="4" s="1"/>
  <c r="B252" i="4" a="1"/>
  <c r="B252" i="4" s="1"/>
  <c r="C252" i="4" a="1"/>
  <c r="C252" i="4" s="1"/>
  <c r="D252" i="4" a="1"/>
  <c r="D252" i="4" s="1"/>
  <c r="E252" i="4" a="1"/>
  <c r="E252" i="4" s="1"/>
  <c r="F252" i="4" a="1"/>
  <c r="F252" i="4" s="1"/>
  <c r="B253" i="4" a="1"/>
  <c r="B253" i="4" s="1"/>
  <c r="C253" i="4" a="1"/>
  <c r="C253" i="4" s="1"/>
  <c r="D253" i="4" a="1"/>
  <c r="D253" i="4" s="1"/>
  <c r="E253" i="4" a="1"/>
  <c r="E253" i="4" s="1"/>
  <c r="F253" i="4" a="1"/>
  <c r="F253" i="4" s="1"/>
  <c r="B254" i="4" a="1"/>
  <c r="B254" i="4" s="1"/>
  <c r="C254" i="4" a="1"/>
  <c r="C254" i="4" s="1"/>
  <c r="D254" i="4" a="1"/>
  <c r="D254" i="4" s="1"/>
  <c r="E254" i="4" a="1"/>
  <c r="E254" i="4" s="1"/>
  <c r="F254" i="4" a="1"/>
  <c r="F254" i="4" s="1"/>
  <c r="B255" i="4" a="1"/>
  <c r="B255" i="4" s="1"/>
  <c r="C255" i="4" a="1"/>
  <c r="C255" i="4" s="1"/>
  <c r="D255" i="4" a="1"/>
  <c r="D255" i="4" s="1"/>
  <c r="E255" i="4" a="1"/>
  <c r="E255" i="4" s="1"/>
  <c r="F255" i="4" a="1"/>
  <c r="F255" i="4" s="1"/>
  <c r="B256" i="4" a="1"/>
  <c r="B256" i="4" s="1"/>
  <c r="C256" i="4" a="1"/>
  <c r="C256" i="4" s="1"/>
  <c r="D256" i="4" a="1"/>
  <c r="D256" i="4" s="1"/>
  <c r="E256" i="4" a="1"/>
  <c r="E256" i="4" s="1"/>
  <c r="F256" i="4" a="1"/>
  <c r="F256" i="4" s="1"/>
  <c r="B257" i="4" a="1"/>
  <c r="B257" i="4" s="1"/>
  <c r="C257" i="4" a="1"/>
  <c r="C257" i="4" s="1"/>
  <c r="D257" i="4" a="1"/>
  <c r="D257" i="4" s="1"/>
  <c r="E257" i="4" a="1"/>
  <c r="E257" i="4" s="1"/>
  <c r="F257" i="4" a="1"/>
  <c r="F257" i="4" s="1"/>
  <c r="B258" i="4" a="1"/>
  <c r="B258" i="4" s="1"/>
  <c r="C258" i="4" a="1"/>
  <c r="C258" i="4" s="1"/>
  <c r="D258" i="4" a="1"/>
  <c r="D258" i="4" s="1"/>
  <c r="E258" i="4" a="1"/>
  <c r="E258" i="4" s="1"/>
  <c r="F258" i="4" a="1"/>
  <c r="F258" i="4" s="1"/>
  <c r="B259" i="4" a="1"/>
  <c r="B259" i="4" s="1"/>
  <c r="C259" i="4" a="1"/>
  <c r="C259" i="4" s="1"/>
  <c r="D259" i="4" a="1"/>
  <c r="D259" i="4" s="1"/>
  <c r="E259" i="4" a="1"/>
  <c r="E259" i="4" s="1"/>
  <c r="F259" i="4" a="1"/>
  <c r="F259" i="4" s="1"/>
  <c r="B260" i="4" a="1"/>
  <c r="B260" i="4" s="1"/>
  <c r="C260" i="4" a="1"/>
  <c r="C260" i="4" s="1"/>
  <c r="D260" i="4" a="1"/>
  <c r="D260" i="4" s="1"/>
  <c r="E260" i="4" a="1"/>
  <c r="E260" i="4" s="1"/>
  <c r="F260" i="4" a="1"/>
  <c r="F260" i="4" s="1"/>
  <c r="B261" i="4" a="1"/>
  <c r="B261" i="4" s="1"/>
  <c r="C261" i="4" a="1"/>
  <c r="C261" i="4" s="1"/>
  <c r="D261" i="4" a="1"/>
  <c r="D261" i="4" s="1"/>
  <c r="E261" i="4" a="1"/>
  <c r="E261" i="4" s="1"/>
  <c r="F261" i="4" a="1"/>
  <c r="F261" i="4" s="1"/>
  <c r="B262" i="4" a="1"/>
  <c r="B262" i="4" s="1"/>
  <c r="C262" i="4" a="1"/>
  <c r="C262" i="4" s="1"/>
  <c r="D262" i="4" a="1"/>
  <c r="D262" i="4" s="1"/>
  <c r="E262" i="4" a="1"/>
  <c r="E262" i="4" s="1"/>
  <c r="F262" i="4" a="1"/>
  <c r="F262" i="4" s="1"/>
  <c r="B263" i="4" a="1"/>
  <c r="B263" i="4" s="1"/>
  <c r="C263" i="4" a="1"/>
  <c r="C263" i="4" s="1"/>
  <c r="D263" i="4" a="1"/>
  <c r="D263" i="4" s="1"/>
  <c r="E263" i="4" a="1"/>
  <c r="E263" i="4" s="1"/>
  <c r="F263" i="4" a="1"/>
  <c r="F263" i="4" s="1"/>
  <c r="B264" i="4" a="1"/>
  <c r="B264" i="4" s="1"/>
  <c r="C264" i="4" a="1"/>
  <c r="C264" i="4" s="1"/>
  <c r="D264" i="4" a="1"/>
  <c r="D264" i="4" s="1"/>
  <c r="E264" i="4" a="1"/>
  <c r="E264" i="4" s="1"/>
  <c r="F264" i="4" a="1"/>
  <c r="F264" i="4" s="1"/>
  <c r="B265" i="4" a="1"/>
  <c r="B265" i="4" s="1"/>
  <c r="C265" i="4" a="1"/>
  <c r="C265" i="4" s="1"/>
  <c r="D265" i="4" a="1"/>
  <c r="D265" i="4" s="1"/>
  <c r="E265" i="4" a="1"/>
  <c r="E265" i="4" s="1"/>
  <c r="F265" i="4" a="1"/>
  <c r="F265" i="4" s="1"/>
  <c r="B266" i="4" a="1"/>
  <c r="B266" i="4" s="1"/>
  <c r="C266" i="4" a="1"/>
  <c r="C266" i="4" s="1"/>
  <c r="D266" i="4" a="1"/>
  <c r="D266" i="4" s="1"/>
  <c r="E266" i="4" a="1"/>
  <c r="E266" i="4" s="1"/>
  <c r="F266" i="4" a="1"/>
  <c r="F266" i="4" s="1"/>
  <c r="B267" i="4" a="1"/>
  <c r="B267" i="4" s="1"/>
  <c r="C267" i="4" a="1"/>
  <c r="C267" i="4" s="1"/>
  <c r="D267" i="4" a="1"/>
  <c r="D267" i="4" s="1"/>
  <c r="E267" i="4" a="1"/>
  <c r="E267" i="4" s="1"/>
  <c r="F267" i="4" a="1"/>
  <c r="F267" i="4" s="1"/>
  <c r="B268" i="4" a="1"/>
  <c r="B268" i="4" s="1"/>
  <c r="C268" i="4" a="1"/>
  <c r="C268" i="4" s="1"/>
  <c r="D268" i="4" a="1"/>
  <c r="D268" i="4" s="1"/>
  <c r="E268" i="4" a="1"/>
  <c r="E268" i="4" s="1"/>
  <c r="F268" i="4" a="1"/>
  <c r="F268" i="4" s="1"/>
  <c r="B269" i="4" a="1"/>
  <c r="B269" i="4" s="1"/>
  <c r="C269" i="4" a="1"/>
  <c r="C269" i="4" s="1"/>
  <c r="D269" i="4" a="1"/>
  <c r="D269" i="4" s="1"/>
  <c r="E269" i="4" a="1"/>
  <c r="E269" i="4" s="1"/>
  <c r="F269" i="4" a="1"/>
  <c r="F269" i="4" s="1"/>
  <c r="B270" i="4" a="1"/>
  <c r="B270" i="4" s="1"/>
  <c r="C270" i="4" a="1"/>
  <c r="C270" i="4" s="1"/>
  <c r="D270" i="4" a="1"/>
  <c r="D270" i="4" s="1"/>
  <c r="E270" i="4" a="1"/>
  <c r="E270" i="4" s="1"/>
  <c r="F270" i="4" a="1"/>
  <c r="F270" i="4" s="1"/>
  <c r="B271" i="4" a="1"/>
  <c r="B271" i="4" s="1"/>
  <c r="C271" i="4" a="1"/>
  <c r="C271" i="4" s="1"/>
  <c r="D271" i="4" a="1"/>
  <c r="D271" i="4" s="1"/>
  <c r="E271" i="4" a="1"/>
  <c r="E271" i="4" s="1"/>
  <c r="F271" i="4" a="1"/>
  <c r="F271" i="4" s="1"/>
  <c r="B272" i="4" a="1"/>
  <c r="B272" i="4" s="1"/>
  <c r="C272" i="4" a="1"/>
  <c r="C272" i="4" s="1"/>
  <c r="D272" i="4" a="1"/>
  <c r="D272" i="4" s="1"/>
  <c r="E272" i="4" a="1"/>
  <c r="E272" i="4" s="1"/>
  <c r="F272" i="4" a="1"/>
  <c r="F272" i="4" s="1"/>
  <c r="B273" i="4" a="1"/>
  <c r="B273" i="4" s="1"/>
  <c r="C273" i="4" a="1"/>
  <c r="C273" i="4" s="1"/>
  <c r="D273" i="4" a="1"/>
  <c r="D273" i="4" s="1"/>
  <c r="E273" i="4" a="1"/>
  <c r="E273" i="4" s="1"/>
  <c r="F273" i="4" a="1"/>
  <c r="F273" i="4" s="1"/>
  <c r="B274" i="4" a="1"/>
  <c r="B274" i="4" s="1"/>
  <c r="C274" i="4" a="1"/>
  <c r="C274" i="4" s="1"/>
  <c r="D274" i="4" a="1"/>
  <c r="D274" i="4" s="1"/>
  <c r="E274" i="4" a="1"/>
  <c r="E274" i="4" s="1"/>
  <c r="F274" i="4" a="1"/>
  <c r="F274" i="4" s="1"/>
  <c r="B275" i="4" a="1"/>
  <c r="B275" i="4" s="1"/>
  <c r="C275" i="4" a="1"/>
  <c r="C275" i="4" s="1"/>
  <c r="D275" i="4" a="1"/>
  <c r="D275" i="4" s="1"/>
  <c r="E275" i="4" a="1"/>
  <c r="E275" i="4" s="1"/>
  <c r="F275" i="4" a="1"/>
  <c r="F275" i="4" s="1"/>
  <c r="B276" i="4" a="1"/>
  <c r="B276" i="4" s="1"/>
  <c r="C276" i="4" a="1"/>
  <c r="C276" i="4" s="1"/>
  <c r="D276" i="4" a="1"/>
  <c r="D276" i="4" s="1"/>
  <c r="E276" i="4" a="1"/>
  <c r="E276" i="4" s="1"/>
  <c r="F276" i="4" a="1"/>
  <c r="F276" i="4" s="1"/>
  <c r="B277" i="4" a="1"/>
  <c r="B277" i="4" s="1"/>
  <c r="C277" i="4" a="1"/>
  <c r="C277" i="4" s="1"/>
  <c r="D277" i="4" a="1"/>
  <c r="D277" i="4" s="1"/>
  <c r="E277" i="4" a="1"/>
  <c r="E277" i="4" s="1"/>
  <c r="F277" i="4" a="1"/>
  <c r="F277" i="4" s="1"/>
  <c r="B278" i="4" a="1"/>
  <c r="B278" i="4" s="1"/>
  <c r="C278" i="4" a="1"/>
  <c r="C278" i="4" s="1"/>
  <c r="D278" i="4" a="1"/>
  <c r="D278" i="4" s="1"/>
  <c r="E278" i="4" a="1"/>
  <c r="E278" i="4" s="1"/>
  <c r="F278" i="4" a="1"/>
  <c r="F278" i="4" s="1"/>
  <c r="B279" i="4" a="1"/>
  <c r="B279" i="4" s="1"/>
  <c r="C279" i="4" a="1"/>
  <c r="C279" i="4" s="1"/>
  <c r="D279" i="4" a="1"/>
  <c r="D279" i="4" s="1"/>
  <c r="E279" i="4" a="1"/>
  <c r="E279" i="4" s="1"/>
  <c r="F279" i="4" a="1"/>
  <c r="F279" i="4" s="1"/>
  <c r="B280" i="4" a="1"/>
  <c r="B280" i="4" s="1"/>
  <c r="C280" i="4" a="1"/>
  <c r="C280" i="4" s="1"/>
  <c r="D280" i="4" a="1"/>
  <c r="D280" i="4" s="1"/>
  <c r="E280" i="4" a="1"/>
  <c r="E280" i="4" s="1"/>
  <c r="F280" i="4" a="1"/>
  <c r="F280" i="4" s="1"/>
  <c r="B281" i="4" a="1"/>
  <c r="B281" i="4" s="1"/>
  <c r="C281" i="4" a="1"/>
  <c r="C281" i="4" s="1"/>
  <c r="D281" i="4" a="1"/>
  <c r="D281" i="4" s="1"/>
  <c r="E281" i="4" a="1"/>
  <c r="E281" i="4" s="1"/>
  <c r="F281" i="4" a="1"/>
  <c r="F281" i="4" s="1"/>
  <c r="B282" i="4" a="1"/>
  <c r="B282" i="4" s="1"/>
  <c r="C282" i="4" a="1"/>
  <c r="C282" i="4" s="1"/>
  <c r="D282" i="4" a="1"/>
  <c r="D282" i="4" s="1"/>
  <c r="E282" i="4" a="1"/>
  <c r="E282" i="4" s="1"/>
  <c r="F282" i="4" a="1"/>
  <c r="F282" i="4" s="1"/>
  <c r="B283" i="4" a="1"/>
  <c r="B283" i="4" s="1"/>
  <c r="C283" i="4" a="1"/>
  <c r="C283" i="4" s="1"/>
  <c r="D283" i="4" a="1"/>
  <c r="D283" i="4" s="1"/>
  <c r="E283" i="4" a="1"/>
  <c r="E283" i="4" s="1"/>
  <c r="F283" i="4" a="1"/>
  <c r="F283" i="4" s="1"/>
  <c r="B284" i="4" a="1"/>
  <c r="B284" i="4" s="1"/>
  <c r="C284" i="4" a="1"/>
  <c r="C284" i="4" s="1"/>
  <c r="D284" i="4" a="1"/>
  <c r="D284" i="4" s="1"/>
  <c r="E284" i="4" a="1"/>
  <c r="E284" i="4" s="1"/>
  <c r="F284" i="4" a="1"/>
  <c r="F284" i="4" s="1"/>
  <c r="B285" i="4" a="1"/>
  <c r="B285" i="4" s="1"/>
  <c r="C285" i="4" a="1"/>
  <c r="C285" i="4" s="1"/>
  <c r="D285" i="4" a="1"/>
  <c r="D285" i="4" s="1"/>
  <c r="E285" i="4" a="1"/>
  <c r="E285" i="4" s="1"/>
  <c r="F285" i="4" a="1"/>
  <c r="F285" i="4" s="1"/>
  <c r="B286" i="4" a="1"/>
  <c r="B286" i="4" s="1"/>
  <c r="C286" i="4" a="1"/>
  <c r="C286" i="4" s="1"/>
  <c r="D286" i="4" a="1"/>
  <c r="D286" i="4" s="1"/>
  <c r="E286" i="4" a="1"/>
  <c r="E286" i="4" s="1"/>
  <c r="F286" i="4" a="1"/>
  <c r="F286" i="4" s="1"/>
  <c r="B287" i="4" a="1"/>
  <c r="B287" i="4" s="1"/>
  <c r="C287" i="4" a="1"/>
  <c r="C287" i="4" s="1"/>
  <c r="D287" i="4" a="1"/>
  <c r="D287" i="4" s="1"/>
  <c r="E287" i="4" a="1"/>
  <c r="E287" i="4" s="1"/>
  <c r="F287" i="4" a="1"/>
  <c r="F287" i="4" s="1"/>
  <c r="B288" i="4" a="1"/>
  <c r="B288" i="4" s="1"/>
  <c r="C288" i="4" a="1"/>
  <c r="C288" i="4" s="1"/>
  <c r="D288" i="4" a="1"/>
  <c r="D288" i="4" s="1"/>
  <c r="E288" i="4" a="1"/>
  <c r="E288" i="4" s="1"/>
  <c r="F288" i="4" a="1"/>
  <c r="F288" i="4" s="1"/>
  <c r="B289" i="4" a="1"/>
  <c r="B289" i="4" s="1"/>
  <c r="C289" i="4" a="1"/>
  <c r="C289" i="4" s="1"/>
  <c r="D289" i="4" a="1"/>
  <c r="D289" i="4" s="1"/>
  <c r="E289" i="4" a="1"/>
  <c r="E289" i="4" s="1"/>
  <c r="F289" i="4" a="1"/>
  <c r="F289" i="4" s="1"/>
  <c r="B290" i="4" a="1"/>
  <c r="B290" i="4" s="1"/>
  <c r="C290" i="4" a="1"/>
  <c r="C290" i="4" s="1"/>
  <c r="D290" i="4" a="1"/>
  <c r="D290" i="4" s="1"/>
  <c r="E290" i="4" a="1"/>
  <c r="E290" i="4" s="1"/>
  <c r="F290" i="4" a="1"/>
  <c r="F290" i="4" s="1"/>
  <c r="B291" i="4" a="1"/>
  <c r="B291" i="4" s="1"/>
  <c r="C291" i="4" a="1"/>
  <c r="C291" i="4" s="1"/>
  <c r="D291" i="4" a="1"/>
  <c r="D291" i="4" s="1"/>
  <c r="E291" i="4" a="1"/>
  <c r="E291" i="4" s="1"/>
  <c r="F291" i="4" a="1"/>
  <c r="F291" i="4" s="1"/>
  <c r="B292" i="4" a="1"/>
  <c r="B292" i="4" s="1"/>
  <c r="C292" i="4" a="1"/>
  <c r="C292" i="4" s="1"/>
  <c r="D292" i="4" a="1"/>
  <c r="D292" i="4" s="1"/>
  <c r="E292" i="4" a="1"/>
  <c r="E292" i="4" s="1"/>
  <c r="F292" i="4" a="1"/>
  <c r="F292" i="4" s="1"/>
  <c r="B293" i="4" a="1"/>
  <c r="B293" i="4" s="1"/>
  <c r="C293" i="4" a="1"/>
  <c r="C293" i="4" s="1"/>
  <c r="D293" i="4" a="1"/>
  <c r="D293" i="4" s="1"/>
  <c r="E293" i="4" a="1"/>
  <c r="E293" i="4" s="1"/>
  <c r="F293" i="4" a="1"/>
  <c r="F293" i="4" s="1"/>
  <c r="B294" i="4" a="1"/>
  <c r="B294" i="4" s="1"/>
  <c r="C294" i="4" a="1"/>
  <c r="C294" i="4" s="1"/>
  <c r="D294" i="4" a="1"/>
  <c r="D294" i="4" s="1"/>
  <c r="E294" i="4" a="1"/>
  <c r="E294" i="4" s="1"/>
  <c r="F294" i="4" a="1"/>
  <c r="F294" i="4" s="1"/>
  <c r="B295" i="4" a="1"/>
  <c r="B295" i="4" s="1"/>
  <c r="C295" i="4" a="1"/>
  <c r="C295" i="4" s="1"/>
  <c r="D295" i="4" a="1"/>
  <c r="D295" i="4" s="1"/>
  <c r="E295" i="4" a="1"/>
  <c r="E295" i="4" s="1"/>
  <c r="F295" i="4" a="1"/>
  <c r="F295" i="4" s="1"/>
  <c r="B296" i="4" a="1"/>
  <c r="B296" i="4" s="1"/>
  <c r="C296" i="4" a="1"/>
  <c r="C296" i="4" s="1"/>
  <c r="D296" i="4" a="1"/>
  <c r="D296" i="4" s="1"/>
  <c r="E296" i="4" a="1"/>
  <c r="E296" i="4" s="1"/>
  <c r="F296" i="4" a="1"/>
  <c r="F296" i="4" s="1"/>
  <c r="B297" i="4" a="1"/>
  <c r="B297" i="4" s="1"/>
  <c r="C297" i="4" a="1"/>
  <c r="C297" i="4" s="1"/>
  <c r="D297" i="4" a="1"/>
  <c r="D297" i="4" s="1"/>
  <c r="E297" i="4" a="1"/>
  <c r="E297" i="4" s="1"/>
  <c r="F297" i="4" a="1"/>
  <c r="F297" i="4" s="1"/>
  <c r="B298" i="4" a="1"/>
  <c r="B298" i="4" s="1"/>
  <c r="C298" i="4" a="1"/>
  <c r="C298" i="4" s="1"/>
  <c r="D298" i="4" a="1"/>
  <c r="D298" i="4" s="1"/>
  <c r="E298" i="4" a="1"/>
  <c r="E298" i="4" s="1"/>
  <c r="F298" i="4" a="1"/>
  <c r="F298" i="4" s="1"/>
  <c r="B299" i="4" a="1"/>
  <c r="B299" i="4" s="1"/>
  <c r="C299" i="4" a="1"/>
  <c r="C299" i="4" s="1"/>
  <c r="D299" i="4" a="1"/>
  <c r="D299" i="4" s="1"/>
  <c r="E299" i="4" a="1"/>
  <c r="E299" i="4" s="1"/>
  <c r="F299" i="4" a="1"/>
  <c r="F299" i="4" s="1"/>
  <c r="B300" i="4" a="1"/>
  <c r="B300" i="4" s="1"/>
  <c r="C300" i="4" a="1"/>
  <c r="C300" i="4" s="1"/>
  <c r="D300" i="4" a="1"/>
  <c r="D300" i="4" s="1"/>
  <c r="E300" i="4" a="1"/>
  <c r="E300" i="4" s="1"/>
  <c r="F300" i="4" a="1"/>
  <c r="F300" i="4" s="1"/>
  <c r="B301" i="4" a="1"/>
  <c r="B301" i="4" s="1"/>
  <c r="C301" i="4" a="1"/>
  <c r="C301" i="4" s="1"/>
  <c r="D301" i="4" a="1"/>
  <c r="D301" i="4" s="1"/>
  <c r="E301" i="4" a="1"/>
  <c r="E301" i="4" s="1"/>
  <c r="F301" i="4" a="1"/>
  <c r="F301" i="4" s="1"/>
  <c r="B302" i="4" a="1"/>
  <c r="B302" i="4" s="1"/>
  <c r="C302" i="4" a="1"/>
  <c r="C302" i="4" s="1"/>
  <c r="D302" i="4" a="1"/>
  <c r="D302" i="4" s="1"/>
  <c r="E302" i="4" a="1"/>
  <c r="E302" i="4" s="1"/>
  <c r="F302" i="4" a="1"/>
  <c r="F302" i="4" s="1"/>
  <c r="B13" i="4" a="1"/>
  <c r="B13" i="4" s="1"/>
  <c r="D13" i="4" a="1"/>
  <c r="D13" i="4" s="1"/>
  <c r="E13" i="4" a="1"/>
  <c r="E13" i="4" s="1"/>
  <c r="F13" i="4" a="1"/>
  <c r="F13" i="4" s="1"/>
  <c r="C4" i="4" a="1"/>
  <c r="C4" i="4" s="1"/>
  <c r="D4" i="4" a="1"/>
  <c r="D4" i="4" s="1"/>
  <c r="E4" i="4" a="1"/>
  <c r="E4" i="4" s="1"/>
  <c r="F4" i="4" a="1"/>
  <c r="F4" i="4" s="1"/>
  <c r="C5" i="4" a="1"/>
  <c r="C5" i="4" s="1"/>
  <c r="D5" i="4" a="1"/>
  <c r="D5" i="4" s="1"/>
  <c r="E5" i="4" a="1"/>
  <c r="E5" i="4" s="1"/>
  <c r="F5" i="4" a="1"/>
  <c r="F5" i="4" s="1"/>
  <c r="B6" i="4" a="1"/>
  <c r="B6" i="4" s="1"/>
  <c r="C6" i="4" a="1"/>
  <c r="C6" i="4" s="1"/>
  <c r="D6" i="4" a="1"/>
  <c r="D6" i="4" s="1"/>
  <c r="E6" i="4" a="1"/>
  <c r="E6" i="4" s="1"/>
  <c r="F6" i="4" a="1"/>
  <c r="F6" i="4" s="1"/>
  <c r="D7" i="4" a="1"/>
  <c r="D7" i="4" s="1"/>
  <c r="E7" i="4" a="1"/>
  <c r="E7" i="4" s="1"/>
  <c r="F7" i="4" a="1"/>
  <c r="F7" i="4" s="1"/>
  <c r="B8" i="4" a="1"/>
  <c r="B8" i="4" s="1"/>
  <c r="C8" i="4" a="1"/>
  <c r="C8" i="4" s="1"/>
  <c r="D8" i="4" a="1"/>
  <c r="D8" i="4" s="1"/>
  <c r="E8" i="4" a="1"/>
  <c r="E8" i="4" s="1"/>
  <c r="F8" i="4" a="1"/>
  <c r="F8" i="4" s="1"/>
  <c r="B9" i="4" a="1"/>
  <c r="B9" i="4" s="1"/>
  <c r="C9" i="4" a="1"/>
  <c r="C9" i="4" s="1"/>
  <c r="D9" i="4" a="1"/>
  <c r="D9" i="4" s="1"/>
  <c r="E9" i="4" a="1"/>
  <c r="E9" i="4" s="1"/>
  <c r="F9" i="4" a="1"/>
  <c r="F9" i="4" s="1"/>
  <c r="C10" i="4" a="1"/>
  <c r="C10" i="4" s="1"/>
  <c r="D10" i="4" a="1"/>
  <c r="D10" i="4" s="1"/>
  <c r="E10" i="4" a="1"/>
  <c r="E10" i="4" s="1"/>
  <c r="F10" i="4" a="1"/>
  <c r="F10" i="4" s="1"/>
  <c r="B11" i="4" a="1"/>
  <c r="B11" i="4" s="1"/>
  <c r="C11" i="4" a="1"/>
  <c r="C11" i="4" s="1"/>
  <c r="D11" i="4" a="1"/>
  <c r="D11" i="4" s="1"/>
  <c r="E11" i="4" a="1"/>
  <c r="E11" i="4" s="1"/>
  <c r="F11" i="4" a="1"/>
  <c r="F11" i="4" s="1"/>
  <c r="B12" i="4" a="1"/>
  <c r="B12" i="4" s="1"/>
  <c r="C12" i="4" a="1"/>
  <c r="C12" i="4" s="1"/>
  <c r="D12" i="4" a="1"/>
  <c r="D12" i="4" s="1"/>
  <c r="E12" i="4" a="1"/>
  <c r="E12" i="4" s="1"/>
  <c r="F12" i="4" a="1"/>
  <c r="F12" i="4" s="1"/>
  <c r="C3" i="4" a="1"/>
  <c r="C3" i="4" s="1"/>
  <c r="D3" i="4" a="1"/>
  <c r="D3" i="4" s="1"/>
  <c r="E3" i="4" a="1"/>
  <c r="E3" i="4" s="1"/>
  <c r="F3" i="4" a="1"/>
  <c r="F3" i="4" s="1"/>
  <c r="B3" i="4" a="1"/>
  <c r="B3" i="4" s="1"/>
  <c r="F90" i="56" l="1"/>
  <c r="E90" i="56"/>
  <c r="B90" i="56"/>
  <c r="G90" i="56"/>
  <c r="G89" i="56"/>
  <c r="F89" i="56"/>
  <c r="E89" i="56"/>
  <c r="B89" i="56"/>
  <c r="G70" i="56"/>
  <c r="F70" i="56"/>
  <c r="E70" i="56"/>
  <c r="B70" i="56"/>
  <c r="F68" i="56"/>
  <c r="E68" i="56"/>
  <c r="B68" i="56"/>
  <c r="G68" i="56"/>
  <c r="B47" i="56"/>
  <c r="E47" i="56"/>
  <c r="E65" i="56" s="1"/>
  <c r="G47" i="56"/>
  <c r="G65" i="56" s="1"/>
  <c r="F47" i="56"/>
  <c r="F65" i="56" s="1"/>
  <c r="B29" i="56"/>
  <c r="E29" i="56"/>
  <c r="G29" i="56"/>
  <c r="F29" i="56"/>
  <c r="G27" i="56"/>
  <c r="F27" i="56"/>
  <c r="E27" i="56"/>
  <c r="B27" i="56"/>
  <c r="G26" i="56"/>
  <c r="F26" i="56"/>
  <c r="E26" i="56"/>
  <c r="B26" i="56"/>
  <c r="G7" i="56"/>
  <c r="F7" i="56"/>
  <c r="E7" i="56"/>
  <c r="B7" i="56"/>
  <c r="G6" i="56"/>
  <c r="F6" i="56"/>
  <c r="E6" i="56"/>
  <c r="B6" i="56"/>
  <c r="G5" i="56"/>
  <c r="F5" i="56"/>
  <c r="E5" i="56"/>
  <c r="B5" i="56"/>
  <c r="B6" i="2"/>
  <c r="F13" i="2"/>
  <c r="G13" i="2"/>
  <c r="E13" i="2"/>
  <c r="B13" i="2"/>
  <c r="F6" i="2"/>
  <c r="B10" i="2"/>
  <c r="F12" i="2"/>
  <c r="G12" i="2"/>
  <c r="E12" i="2"/>
  <c r="B12" i="2"/>
  <c r="F7" i="2"/>
  <c r="F8" i="2"/>
  <c r="F9" i="2"/>
  <c r="F10" i="2"/>
  <c r="F11" i="2"/>
  <c r="G7" i="2"/>
  <c r="G6" i="2"/>
  <c r="G8" i="2"/>
  <c r="G9" i="2"/>
  <c r="G11" i="2"/>
  <c r="G10" i="2"/>
  <c r="E11" i="2"/>
  <c r="B11" i="2"/>
  <c r="E10" i="2"/>
  <c r="E9" i="2"/>
  <c r="B9" i="2"/>
  <c r="E7" i="2"/>
  <c r="E8" i="2"/>
  <c r="B8" i="2"/>
  <c r="K6" i="2"/>
  <c r="E6" i="2"/>
  <c r="B7" i="2"/>
  <c r="E107" i="56" l="1"/>
  <c r="F107" i="56"/>
  <c r="G107" i="56"/>
  <c r="F86" i="56"/>
  <c r="G86" i="56"/>
  <c r="E86" i="56"/>
  <c r="G44" i="56"/>
  <c r="E44" i="56"/>
  <c r="F44" i="56"/>
  <c r="F23" i="56"/>
  <c r="G23" i="56"/>
  <c r="E23" i="56"/>
  <c r="E24" i="2"/>
  <c r="E153" i="2" s="1"/>
  <c r="F24" i="2"/>
  <c r="F153" i="2" s="1"/>
  <c r="G24" i="2"/>
  <c r="G153" i="2" s="1"/>
  <c r="E152" i="56" l="1"/>
  <c r="F152" i="56"/>
  <c r="G152" i="56"/>
  <c r="L153" i="2"/>
  <c r="M153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F152" i="2"/>
  <c r="E152" i="2"/>
  <c r="L152" i="56" l="1"/>
  <c r="M152" i="56"/>
  <c r="H24" i="2"/>
  <c r="H153" i="2" s="1"/>
  <c r="I24" i="2"/>
  <c r="I153" i="2" s="1"/>
  <c r="J24" i="2"/>
  <c r="J15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<sst xmlns="http://schemas.openxmlformats.org/spreadsheetml/2006/main" count="135" uniqueCount="39">
  <si>
    <t>Job</t>
  </si>
  <si>
    <t>Job number</t>
  </si>
  <si>
    <t>Task description</t>
  </si>
  <si>
    <t>Monday</t>
  </si>
  <si>
    <t>Projects</t>
  </si>
  <si>
    <t>Non-chargeable</t>
  </si>
  <si>
    <t>Holiday</t>
  </si>
  <si>
    <t>Bank holiday</t>
  </si>
  <si>
    <t>Sick</t>
  </si>
  <si>
    <t>start</t>
  </si>
  <si>
    <t>Tuesday</t>
  </si>
  <si>
    <t>Wednesday</t>
  </si>
  <si>
    <t>total</t>
  </si>
  <si>
    <t>Thursday</t>
  </si>
  <si>
    <t>Friday</t>
  </si>
  <si>
    <t>Weekly totals</t>
  </si>
  <si>
    <t>Total chargeable</t>
  </si>
  <si>
    <t>Total work hours</t>
  </si>
  <si>
    <t>Week</t>
  </si>
  <si>
    <t>Client</t>
  </si>
  <si>
    <t>Contact</t>
  </si>
  <si>
    <t>Sunday</t>
  </si>
  <si>
    <t>Saturday</t>
  </si>
  <si>
    <t>Name</t>
  </si>
  <si>
    <t>Year</t>
  </si>
  <si>
    <t>Do not enter anything in this column</t>
  </si>
  <si>
    <t>Number</t>
  </si>
  <si>
    <t>Type</t>
  </si>
  <si>
    <t>Non-project</t>
  </si>
  <si>
    <t>Non-work</t>
  </si>
  <si>
    <t>Week commencing date</t>
  </si>
  <si>
    <t>General admin</t>
  </si>
  <si>
    <t>Project 1</t>
  </si>
  <si>
    <t>Project 2</t>
  </si>
  <si>
    <t>full day holiday</t>
  </si>
  <si>
    <t>non-chargeable 2</t>
  </si>
  <si>
    <t>Training/conferences</t>
  </si>
  <si>
    <t>John Smith</t>
  </si>
  <si>
    <t>NC/001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</si>
</sst>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5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9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5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Fill="1"/>
    <xf numFmtId="14" fontId="0" fillId="0" borderId="0" xfId="0" applyNumberFormat="1" applyFill="1"/>
    <xf numFmtId="1" fontId="1" fillId="0" borderId="0" xfId="0" applyNumberFormat="1" applyFont="1" applyFill="1"/>
    <xf numFmtId="0" fontId="2" fillId="0" borderId="0" xfId="0" applyFont="1"/>
    <xf numFmtId="0" fontId="3" fillId="2" borderId="0" xfId="0" applyFont="1" applyFill="1" applyAlignment="1">
      <alignment wrapText="1"/>
    </xf>
    <xf numFmtId="0" fontId="4" fillId="2" borderId="0" xfId="0" applyFont="1" applyFill="1"/>
    <xf numFmtId="20" fontId="0" fillId="0" borderId="0" xfId="0" applyNumberFormat="1" applyAlignment="1">
      <alignment wrapText="1"/>
    </xf>
    <xf numFmtId="0" fontId="0" fillId="3" borderId="0" xfId="0" applyFill="1" applyAlignment="1">
      <alignment wrapText="1"/>
    </xf>
    <xf numFmtId="20" fontId="0" fillId="3" borderId="0" xfId="0" applyNumberFormat="1" applyFill="1" applyAlignment="1">
      <alignment wrapText="1"/>
    </xf>
    <xf numFmtId="0" fontId="0" fillId="0" borderId="0" xfId="0" applyAlignment="1">
      <alignment wrapText="1"/>
    </xf>
    <xf numFmtId="20" fontId="5" fillId="0" borderId="0" xfId="0" applyNumberFormat="1" applyFont="1" applyFill="1"/>
    <xf numFmtId="46" fontId="1" fillId="0" borderId="0" xfId="0" applyNumberFormat="1" applyFont="1" applyFill="1"/>
    <xf numFmtId="0" fontId="0" fillId="4" borderId="0" xfId="0" applyFill="1" applyAlignment="1">
      <alignment wrapText="1"/>
    </xf>
    <xf numFmtId="20" fontId="2" fillId="0" borderId="0" xfId="0" applyNumberFormat="1" applyFont="1"/>
    <xf numFmtId="0" fontId="4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46" fontId="0" fillId="0" borderId="0" xfId="0" applyNumberFormat="1"/>
    <xf numFmtId="0" fontId="5" fillId="0" borderId="0" xfId="0" applyFont="1"/>
    <xf numFmtId="0" fontId="0" fillId="0" borderId="0" xfId="0" applyAlignment="1"/>
    <xf numFmtId="0" fontId="2" fillId="0" borderId="0" xfId="0" applyFont="1" applyFill="1" applyAlignment="1"/>
    <xf numFmtId="0" fontId="0" fillId="0" borderId="0" xfId="0" applyFont="1" applyFill="1" applyAlignment="1"/>
    <xf numFmtId="0" fontId="2" fillId="0" borderId="0" xfId="0" applyFont="1" applyFill="1" applyAlignment="1">
      <alignment wrapText="1"/>
    </xf>
    <xf numFmtId="0" fontId="6" fillId="0" borderId="0" xfId="0" applyFont="1"/>
    <xf numFmtId="0" fontId="9" fillId="0" borderId="0" xfId="0" applyFont="1"/>
    <xf numFmtId="0" fontId="0" fillId="0" borderId="0" xfId="0" applyAlignment="1">
      <alignment horizontal="left"/>
    </xf>
    <xf numFmtId="46" fontId="10" fillId="0" borderId="0" xfId="0" applyNumberFormat="1" applyFont="1" applyFill="1"/>
    <xf numFmtId="0" fontId="10" fillId="0" borderId="0" xfId="0" applyFont="1" applyFill="1"/>
    <xf numFmtId="0" fontId="12" fillId="0" borderId="0" xfId="0" applyFont="1" applyFill="1" applyAlignment="1">
      <alignment wrapText="1"/>
    </xf>
    <xf numFmtId="20" fontId="12" fillId="0" borderId="0" xfId="0" applyNumberFormat="1" applyFont="1" applyFill="1"/>
    <xf numFmtId="0" fontId="12" fillId="0" borderId="0" xfId="0" applyFont="1" applyFill="1" applyAlignment="1">
      <alignment horizontal="center" vertical="center" wrapText="1"/>
    </xf>
    <xf numFmtId="0" fontId="12" fillId="5" borderId="0" xfId="0" applyFont="1" applyFill="1" applyAlignment="1">
      <alignment wrapText="1"/>
    </xf>
    <xf numFmtId="0" fontId="10" fillId="5" borderId="0" xfId="0" applyFont="1" applyFill="1"/>
    <xf numFmtId="20" fontId="10" fillId="5" borderId="0" xfId="0" applyNumberFormat="1" applyFont="1" applyFill="1"/>
    <xf numFmtId="20" fontId="12" fillId="5" borderId="0" xfId="0" applyNumberFormat="1" applyFont="1" applyFill="1"/>
    <xf numFmtId="0" fontId="0" fillId="0" borderId="0" xfId="0" quotePrefix="1"/>
    <xf numFmtId="0" fontId="13" fillId="6" borderId="0" xfId="0" applyFont="1" applyFill="1"/>
    <xf numFmtId="0" fontId="0" fillId="0" borderId="0" xfId="0" quotePrefix="1" applyAlignment="1">
      <alignment wrapText="1"/>
    </xf>
    <xf numFmtId="0" fontId="3" fillId="2" borderId="0" xfId="0" applyFont="1" applyFill="1" applyAlignment="1">
      <alignment vertical="top"/>
    </xf>
    <xf numFmtId="0" fontId="3" fillId="2" borderId="0" xfId="0" applyFont="1" applyFill="1" applyAlignment="1">
      <alignment vertical="top" wrapText="1"/>
    </xf>
    <xf numFmtId="0" fontId="3" fillId="2" borderId="0" xfId="0" applyFont="1" applyFill="1" applyAlignment="1">
      <alignment horizontal="center"/>
    </xf>
    <xf numFmtId="2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20" fontId="5" fillId="0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20" fontId="2" fillId="4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0" fontId="5" fillId="3" borderId="0" xfId="0" applyNumberFormat="1" applyFont="1" applyFill="1" applyAlignment="1">
      <alignment horizontal="center"/>
    </xf>
    <xf numFmtId="0" fontId="2" fillId="0" borderId="0" xfId="0" applyFont="1" applyFill="1"/>
    <xf numFmtId="14" fontId="2" fillId="0" borderId="0" xfId="0" applyNumberFormat="1" applyFont="1" applyFill="1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left" wrapText="1"/>
    </xf>
  </cellXfs>
  <cellStyles count="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190499</xdr:rowOff>
        </xdr:to>
        <xdr:sp macro="" textlink="">
          <xdr:nvSpPr>
            <xdr:cNvPr id="33794" name="TempCombo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153</xdr:row>
          <xdr:rowOff>99060</xdr:rowOff>
        </xdr:from>
        <xdr:to>
          <xdr:col>13</xdr:col>
          <xdr:colOff>1630680</xdr:colOff>
          <xdr:row>153</xdr:row>
          <xdr:rowOff>350520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Timesheet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0</xdr:rowOff>
        </xdr:from>
        <xdr:to>
          <xdr:col>0</xdr:col>
          <xdr:colOff>129540</xdr:colOff>
          <xdr:row>1</xdr:row>
          <xdr:rowOff>61856</xdr:rowOff>
        </xdr:to>
        <xdr:sp macro="" textlink="">
          <xdr:nvSpPr>
            <xdr:cNvPr id="35842" name="TempCombo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6615DB32-4F5D-4F43-BC77-0DC41FFD3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153</xdr:row>
          <xdr:rowOff>99060</xdr:rowOff>
        </xdr:from>
        <xdr:to>
          <xdr:col>13</xdr:col>
          <xdr:colOff>1630680</xdr:colOff>
          <xdr:row>153</xdr:row>
          <xdr:rowOff>350520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89AFBEB8-5FC3-4C94-8620-B581CE842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Timesheet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472440</xdr:rowOff>
        </xdr:from>
        <xdr:to>
          <xdr:col>1</xdr:col>
          <xdr:colOff>1074420</xdr:colOff>
          <xdr:row>0</xdr:row>
          <xdr:rowOff>731520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0</xdr:row>
          <xdr:rowOff>388620</xdr:rowOff>
        </xdr:to>
        <xdr:sp macro="" textlink="">
          <xdr:nvSpPr>
            <xdr:cNvPr id="29704" name="TempCombo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1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154</xdr:row>
          <xdr:rowOff>99060</xdr:rowOff>
        </xdr:from>
        <xdr:to>
          <xdr:col>13</xdr:col>
          <xdr:colOff>1630680</xdr:colOff>
          <xdr:row>154</xdr:row>
          <xdr:rowOff>350520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1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Timesheet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obs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s"/>
    </sheetNames>
    <sheetDataSet>
      <sheetData sheetId="0">
        <row r="2">
          <cell r="B2" t="str">
            <v>Name</v>
          </cell>
          <cell r="C2" t="str">
            <v>Number</v>
          </cell>
          <cell r="D2" t="str">
            <v>Type</v>
          </cell>
          <cell r="E2" t="str">
            <v>Client</v>
          </cell>
          <cell r="F2" t="str">
            <v>Contact</v>
          </cell>
        </row>
        <row r="3">
          <cell r="B3" t="str">
            <v>General admin</v>
          </cell>
          <cell r="C3" t="str">
            <v>admin1</v>
          </cell>
          <cell r="D3" t="str">
            <v>1 - Non-project</v>
          </cell>
        </row>
        <row r="4">
          <cell r="B4" t="str">
            <v>Proposals</v>
          </cell>
          <cell r="C4" t="str">
            <v>admin2</v>
          </cell>
          <cell r="D4" t="str">
            <v>1 - Non-project</v>
          </cell>
        </row>
        <row r="5">
          <cell r="B5" t="str">
            <v>Training/conferences</v>
          </cell>
          <cell r="C5" t="str">
            <v>admin3</v>
          </cell>
          <cell r="D5" t="str">
            <v>1 - Non-project</v>
          </cell>
        </row>
        <row r="6">
          <cell r="B6" t="str">
            <v>lunch</v>
          </cell>
          <cell r="D6" t="str">
            <v>1 - Non-project</v>
          </cell>
        </row>
        <row r="7">
          <cell r="B7" t="str">
            <v>1/2 day holiday</v>
          </cell>
          <cell r="C7" t="str">
            <v>Holiday</v>
          </cell>
          <cell r="D7" t="str">
            <v>1 - Non-project</v>
          </cell>
        </row>
        <row r="8">
          <cell r="B8" t="str">
            <v>full day holiday</v>
          </cell>
          <cell r="C8" t="str">
            <v>Holiday</v>
          </cell>
          <cell r="D8" t="str">
            <v>1 - Non-project</v>
          </cell>
        </row>
        <row r="9">
          <cell r="B9" t="str">
            <v>Bank holiday</v>
          </cell>
          <cell r="C9" t="str">
            <v>Bank holiday</v>
          </cell>
          <cell r="D9" t="str">
            <v>1 - Non-project</v>
          </cell>
        </row>
        <row r="10">
          <cell r="B10" t="str">
            <v>1/2 day sick</v>
          </cell>
          <cell r="C10" t="str">
            <v>Sick</v>
          </cell>
          <cell r="D10" t="str">
            <v>1 - Non-project</v>
          </cell>
        </row>
        <row r="11">
          <cell r="B11" t="str">
            <v>full day sick</v>
          </cell>
          <cell r="C11" t="str">
            <v>Sick</v>
          </cell>
          <cell r="D11" t="str">
            <v>1 - Non-project</v>
          </cell>
        </row>
        <row r="12">
          <cell r="B12" t="str">
            <v>non-chargeable 2</v>
          </cell>
          <cell r="C12" t="str">
            <v>NC/002</v>
          </cell>
          <cell r="D12" t="str">
            <v>2 - Non-chargeable</v>
          </cell>
        </row>
        <row r="13">
          <cell r="B13" t="str">
            <v>non-chargeable 1</v>
          </cell>
          <cell r="C13" t="str">
            <v>NC/001</v>
          </cell>
          <cell r="D13" t="str">
            <v>2 - Non-chargeable</v>
          </cell>
        </row>
        <row r="14">
          <cell r="B14" t="str">
            <v>Project 4</v>
          </cell>
          <cell r="C14" t="str">
            <v>2021/004</v>
          </cell>
          <cell r="D14" t="str">
            <v>3 - Projects</v>
          </cell>
        </row>
        <row r="15">
          <cell r="B15" t="str">
            <v>Project 3</v>
          </cell>
          <cell r="C15" t="str">
            <v>2021/003</v>
          </cell>
          <cell r="D15" t="str">
            <v>3 - Projects</v>
          </cell>
          <cell r="E15" t="str">
            <v>House Architects</v>
          </cell>
          <cell r="F15" t="str">
            <v>Bill Williams</v>
          </cell>
        </row>
        <row r="16">
          <cell r="B16" t="str">
            <v>Project 2</v>
          </cell>
          <cell r="C16" t="str">
            <v>2021/002</v>
          </cell>
          <cell r="D16" t="str">
            <v>3 - Projects</v>
          </cell>
          <cell r="E16" t="str">
            <v>EG</v>
          </cell>
          <cell r="F16" t="str">
            <v>Sarah Johnson</v>
          </cell>
        </row>
        <row r="17">
          <cell r="B17" t="str">
            <v>Project 1</v>
          </cell>
          <cell r="C17" t="str">
            <v>2021/001</v>
          </cell>
          <cell r="D17" t="str">
            <v>3 - Projects</v>
          </cell>
          <cell r="E17" t="str">
            <v>Company Ltd</v>
          </cell>
          <cell r="F17" t="str">
            <v>Example Name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AB11D-161F-4865-A1B6-5172208CDC71}">
  <sheetPr codeName="Sheet29"/>
  <dimension ref="A1:R159"/>
  <sheetViews>
    <sheetView tabSelected="1" topLeftCell="A137" zoomScale="85" zoomScaleNormal="85" workbookViewId="0">
      <selection activeCell="N154" sqref="N154"/>
    </sheetView>
  </sheetViews>
  <sheetFormatPr defaultColWidth="11.19921875" defaultRowHeight="15.6" x14ac:dyDescent="0.3"/>
  <cols>
    <col min="1" max="1" width="29.19921875" customWidth="1"/>
    <col min="2" max="2" width="15.69921875" customWidth="1"/>
    <col min="3" max="3" width="14.69921875" bestFit="1" customWidth="1"/>
    <col min="4" max="4" width="10.5" customWidth="1"/>
    <col min="5" max="6" width="14.8984375" customWidth="1"/>
    <col min="7" max="7" width="13.8984375" customWidth="1"/>
    <col min="8" max="8" width="10.19921875" customWidth="1"/>
    <col min="9" max="9" width="12.69921875" customWidth="1"/>
    <col min="10" max="10" width="10.19921875" customWidth="1"/>
    <col min="11" max="11" width="17.796875" style="27" hidden="1" customWidth="1"/>
    <col min="14" max="14" width="22.3984375" customWidth="1"/>
  </cols>
  <sheetData>
    <row r="1" spans="1:18" x14ac:dyDescent="0.3">
      <c r="A1" s="48" t="s">
        <v>18</v>
      </c>
      <c r="B1" s="49" t="s">
        <v>30</v>
      </c>
      <c r="C1" s="1"/>
    </row>
    <row r="2" spans="1:18" x14ac:dyDescent="0.3">
      <c r="A2" s="25">
        <v>1</v>
      </c>
      <c r="B2" s="2">
        <v>44193</v>
      </c>
      <c r="C2" s="3"/>
      <c r="L2" s="4"/>
    </row>
    <row r="3" spans="1:18" ht="44.4" customHeight="1" x14ac:dyDescent="0.3">
      <c r="A3" s="38" t="s">
        <v>0</v>
      </c>
      <c r="B3" s="38" t="s">
        <v>1</v>
      </c>
      <c r="C3" s="38" t="s">
        <v>2</v>
      </c>
      <c r="D3" s="40" t="s">
        <v>3</v>
      </c>
      <c r="E3" s="39" t="s">
        <v>4</v>
      </c>
      <c r="F3" s="39" t="s">
        <v>5</v>
      </c>
      <c r="G3" s="39" t="s">
        <v>28</v>
      </c>
      <c r="H3" s="39" t="s">
        <v>6</v>
      </c>
      <c r="I3" s="39" t="s">
        <v>7</v>
      </c>
      <c r="J3" s="39" t="s">
        <v>8</v>
      </c>
      <c r="K3" s="31"/>
      <c r="L3" s="4"/>
    </row>
    <row r="4" spans="1:18" x14ac:dyDescent="0.3">
      <c r="A4" s="7" t="s">
        <v>9</v>
      </c>
      <c r="B4" s="8"/>
      <c r="C4" s="9"/>
      <c r="D4" s="41">
        <v>0.375</v>
      </c>
      <c r="E4" s="42"/>
      <c r="F4" s="42"/>
      <c r="G4" s="42"/>
      <c r="H4" s="42"/>
      <c r="I4" s="42"/>
      <c r="J4" s="42"/>
      <c r="K4" s="32"/>
    </row>
    <row r="5" spans="1:18" x14ac:dyDescent="0.3">
      <c r="A5" s="10" t="s">
        <v>31</v>
      </c>
      <c r="B5" s="37" t="str">
        <f ca="1">IF(A5="","",INDEX(Number_list,MATCH(A5,Project_list,0)))</f>
        <v>admin1</v>
      </c>
      <c r="C5" s="10"/>
      <c r="D5" s="41">
        <v>0.54166666666666663</v>
      </c>
      <c r="E5" s="43" t="str">
        <f t="shared" ref="E5:E22" ca="1" si="0">IF($A5="","",IF(LEFT(INDEX(Number_list,MATCH($A5,Project_list,0)),2)="20",$D5-$D4,""))</f>
        <v/>
      </c>
      <c r="F5" s="43" t="str">
        <f t="shared" ref="F5:F22" ca="1" si="1">IF($A5="","",IF(LEFT(INDEX(Number_list,MATCH($A5,Project_list,0)),2)="NC",$D5-$D4,""))</f>
        <v/>
      </c>
      <c r="G5" s="43">
        <f t="shared" ref="G5:G22" ca="1" si="2">IF($A5="","",IF(LEFT(INDEX(Number_list,MATCH($A5,Project_list,0)),5)="admin",$D5-$D4,""))</f>
        <v>0.16666666666666663</v>
      </c>
      <c r="H5" s="43" t="str">
        <f>IF($A5="full day holiday",7.5/24,IF($A5="1/2 day holiday",3.75/24,""))</f>
        <v/>
      </c>
      <c r="I5" s="43" t="str">
        <f>IF($A5="bank holiday",7.5/24,"")</f>
        <v/>
      </c>
      <c r="J5" s="43" t="str">
        <f>IF($A5="full day sick",7.5/24,IF($A5="1/2 day sick",3.75/24,""))</f>
        <v/>
      </c>
      <c r="K5" s="32"/>
      <c r="N5" s="51"/>
    </row>
    <row r="6" spans="1:18" x14ac:dyDescent="0.3">
      <c r="A6" s="52"/>
      <c r="B6" s="37" t="str">
        <f t="shared" ref="B6:B22" si="3">IF(A6="","",INDEX(Number_list,MATCH(A6,Project_list,0)))</f>
        <v/>
      </c>
      <c r="C6" s="10"/>
      <c r="D6" s="41">
        <v>0.58333333333333337</v>
      </c>
      <c r="E6" s="43" t="str">
        <f t="shared" si="0"/>
        <v/>
      </c>
      <c r="F6" s="43" t="str">
        <f t="shared" si="1"/>
        <v/>
      </c>
      <c r="G6" s="43" t="str">
        <f t="shared" si="2"/>
        <v/>
      </c>
      <c r="H6" s="43" t="str">
        <f t="shared" ref="H6:H22" si="4">IF($A6="full day holiday",7.5/24,IF($A6="1/2 day holiday",3.75/24,""))</f>
        <v/>
      </c>
      <c r="I6" s="43" t="str">
        <f t="shared" ref="I6:I22" si="5">IF($A6="bank holiday",7.5/24,"")</f>
        <v/>
      </c>
      <c r="J6" s="43" t="str">
        <f>IF($A6="full day sick",7.5/24,IF($A6="1/2 day sick",3.75/24,""))</f>
        <v/>
      </c>
      <c r="K6" s="33"/>
    </row>
    <row r="7" spans="1:18" x14ac:dyDescent="0.3">
      <c r="A7" s="52" t="s">
        <v>32</v>
      </c>
      <c r="B7" s="37" t="str">
        <f t="shared" ca="1" si="3"/>
        <v>2021/001</v>
      </c>
      <c r="C7" s="10"/>
      <c r="D7" s="41">
        <v>0.72916666666666663</v>
      </c>
      <c r="E7" s="43">
        <f t="shared" ca="1" si="0"/>
        <v>0.14583333333333326</v>
      </c>
      <c r="F7" s="43" t="str">
        <f t="shared" ca="1" si="1"/>
        <v/>
      </c>
      <c r="G7" s="43" t="str">
        <f t="shared" ca="1" si="2"/>
        <v/>
      </c>
      <c r="H7" s="43" t="str">
        <f t="shared" si="4"/>
        <v/>
      </c>
      <c r="I7" s="43" t="str">
        <f t="shared" si="5"/>
        <v/>
      </c>
      <c r="J7" s="43" t="str">
        <f t="shared" ref="J7:J22" si="6">IF($A7="full day sick",7.5/24,IF($A7="1/2 day sick",3.75/24,""))</f>
        <v/>
      </c>
      <c r="K7" s="33"/>
      <c r="L7" s="43"/>
      <c r="M7" s="43"/>
      <c r="N7" s="43"/>
      <c r="O7" s="43"/>
      <c r="P7" s="43"/>
      <c r="Q7" s="43"/>
      <c r="R7" s="11"/>
    </row>
    <row r="8" spans="1:18" x14ac:dyDescent="0.3">
      <c r="A8" s="10"/>
      <c r="B8" s="37" t="str">
        <f t="shared" si="3"/>
        <v/>
      </c>
      <c r="C8" s="10"/>
      <c r="D8" s="41"/>
      <c r="E8" s="43" t="str">
        <f t="shared" si="0"/>
        <v/>
      </c>
      <c r="F8" s="43" t="str">
        <f t="shared" si="1"/>
        <v/>
      </c>
      <c r="G8" s="43" t="str">
        <f t="shared" si="2"/>
        <v/>
      </c>
      <c r="H8" s="43" t="str">
        <f t="shared" si="4"/>
        <v/>
      </c>
      <c r="I8" s="43" t="str">
        <f t="shared" si="5"/>
        <v/>
      </c>
      <c r="J8" s="43" t="str">
        <f t="shared" si="6"/>
        <v/>
      </c>
      <c r="K8" s="33"/>
    </row>
    <row r="9" spans="1:18" x14ac:dyDescent="0.3">
      <c r="A9" s="10"/>
      <c r="B9" s="37" t="str">
        <f>IF(A9="","",INDEX(Number_list,MATCH(A9,Project_list,0)))</f>
        <v/>
      </c>
      <c r="C9" s="10"/>
      <c r="D9" s="41"/>
      <c r="E9" s="43" t="str">
        <f t="shared" si="0"/>
        <v/>
      </c>
      <c r="F9" s="43" t="str">
        <f t="shared" si="1"/>
        <v/>
      </c>
      <c r="G9" s="43" t="str">
        <f t="shared" si="2"/>
        <v/>
      </c>
      <c r="H9" s="43" t="str">
        <f t="shared" si="4"/>
        <v/>
      </c>
      <c r="I9" s="43" t="str">
        <f t="shared" si="5"/>
        <v/>
      </c>
      <c r="J9" s="43" t="str">
        <f t="shared" si="6"/>
        <v/>
      </c>
      <c r="K9" s="33"/>
    </row>
    <row r="10" spans="1:18" x14ac:dyDescent="0.3">
      <c r="A10" s="10"/>
      <c r="B10" s="37" t="str">
        <f t="shared" si="3"/>
        <v/>
      </c>
      <c r="C10" s="10"/>
      <c r="D10" s="41"/>
      <c r="E10" s="43" t="str">
        <f t="shared" si="0"/>
        <v/>
      </c>
      <c r="F10" s="43" t="str">
        <f t="shared" si="1"/>
        <v/>
      </c>
      <c r="G10" s="43" t="str">
        <f t="shared" si="2"/>
        <v/>
      </c>
      <c r="H10" s="43" t="str">
        <f t="shared" si="4"/>
        <v/>
      </c>
      <c r="I10" s="43" t="str">
        <f t="shared" si="5"/>
        <v/>
      </c>
      <c r="J10" s="43" t="str">
        <f t="shared" si="6"/>
        <v/>
      </c>
      <c r="K10" s="33"/>
      <c r="M10" s="50"/>
    </row>
    <row r="11" spans="1:18" x14ac:dyDescent="0.3">
      <c r="A11" s="10"/>
      <c r="B11" s="37" t="str">
        <f t="shared" si="3"/>
        <v/>
      </c>
      <c r="C11" s="10"/>
      <c r="D11" s="41"/>
      <c r="E11" s="43" t="str">
        <f t="shared" si="0"/>
        <v/>
      </c>
      <c r="F11" s="43" t="str">
        <f t="shared" si="1"/>
        <v/>
      </c>
      <c r="G11" s="43" t="str">
        <f t="shared" si="2"/>
        <v/>
      </c>
      <c r="H11" s="43" t="str">
        <f t="shared" si="4"/>
        <v/>
      </c>
      <c r="I11" s="43" t="str">
        <f t="shared" si="5"/>
        <v/>
      </c>
      <c r="J11" s="43" t="str">
        <f t="shared" si="6"/>
        <v/>
      </c>
      <c r="K11" s="33"/>
    </row>
    <row r="12" spans="1:18" x14ac:dyDescent="0.3">
      <c r="A12" s="10"/>
      <c r="B12" s="37" t="str">
        <f t="shared" si="3"/>
        <v/>
      </c>
      <c r="C12" s="10"/>
      <c r="D12" s="41"/>
      <c r="E12" s="43" t="str">
        <f t="shared" si="0"/>
        <v/>
      </c>
      <c r="F12" s="43" t="str">
        <f t="shared" si="1"/>
        <v/>
      </c>
      <c r="G12" s="43" t="str">
        <f t="shared" si="2"/>
        <v/>
      </c>
      <c r="H12" s="43" t="str">
        <f t="shared" si="4"/>
        <v/>
      </c>
      <c r="I12" s="43" t="str">
        <f t="shared" si="5"/>
        <v/>
      </c>
      <c r="J12" s="43" t="str">
        <f t="shared" si="6"/>
        <v/>
      </c>
      <c r="K12" s="33"/>
    </row>
    <row r="13" spans="1:18" x14ac:dyDescent="0.3">
      <c r="A13" s="10"/>
      <c r="B13" s="37" t="str">
        <f t="shared" si="3"/>
        <v/>
      </c>
      <c r="C13" s="10"/>
      <c r="D13" s="41"/>
      <c r="E13" s="43" t="str">
        <f t="shared" si="0"/>
        <v/>
      </c>
      <c r="F13" s="43" t="str">
        <f t="shared" si="1"/>
        <v/>
      </c>
      <c r="G13" s="43" t="str">
        <f t="shared" si="2"/>
        <v/>
      </c>
      <c r="H13" s="43" t="str">
        <f t="shared" si="4"/>
        <v/>
      </c>
      <c r="I13" s="43" t="str">
        <f t="shared" si="5"/>
        <v/>
      </c>
      <c r="J13" s="43" t="str">
        <f t="shared" si="6"/>
        <v/>
      </c>
      <c r="K13" s="33"/>
    </row>
    <row r="14" spans="1:18" x14ac:dyDescent="0.3">
      <c r="A14" s="10"/>
      <c r="B14" s="37" t="str">
        <f t="shared" si="3"/>
        <v/>
      </c>
      <c r="C14" s="10"/>
      <c r="D14" s="41"/>
      <c r="E14" s="43" t="str">
        <f t="shared" si="0"/>
        <v/>
      </c>
      <c r="F14" s="43" t="str">
        <f t="shared" si="1"/>
        <v/>
      </c>
      <c r="G14" s="43" t="str">
        <f t="shared" si="2"/>
        <v/>
      </c>
      <c r="H14" s="43" t="str">
        <f t="shared" si="4"/>
        <v/>
      </c>
      <c r="I14" s="43" t="str">
        <f t="shared" si="5"/>
        <v/>
      </c>
      <c r="J14" s="43" t="str">
        <f t="shared" si="6"/>
        <v/>
      </c>
      <c r="K14" s="33"/>
    </row>
    <row r="15" spans="1:18" x14ac:dyDescent="0.3">
      <c r="A15" s="10"/>
      <c r="B15" s="37" t="str">
        <f t="shared" si="3"/>
        <v/>
      </c>
      <c r="C15" s="10"/>
      <c r="D15" s="41"/>
      <c r="E15" s="43" t="str">
        <f t="shared" si="0"/>
        <v/>
      </c>
      <c r="F15" s="43" t="str">
        <f t="shared" si="1"/>
        <v/>
      </c>
      <c r="G15" s="43" t="str">
        <f t="shared" si="2"/>
        <v/>
      </c>
      <c r="H15" s="43" t="str">
        <f t="shared" si="4"/>
        <v/>
      </c>
      <c r="I15" s="43" t="str">
        <f t="shared" si="5"/>
        <v/>
      </c>
      <c r="J15" s="43" t="str">
        <f t="shared" si="6"/>
        <v/>
      </c>
      <c r="K15" s="33"/>
    </row>
    <row r="16" spans="1:18" x14ac:dyDescent="0.3">
      <c r="A16" s="10"/>
      <c r="B16" s="37" t="str">
        <f t="shared" si="3"/>
        <v/>
      </c>
      <c r="C16" s="10"/>
      <c r="D16" s="41"/>
      <c r="E16" s="43" t="str">
        <f t="shared" si="0"/>
        <v/>
      </c>
      <c r="F16" s="43" t="str">
        <f t="shared" si="1"/>
        <v/>
      </c>
      <c r="G16" s="43" t="str">
        <f t="shared" si="2"/>
        <v/>
      </c>
      <c r="H16" s="43" t="str">
        <f t="shared" si="4"/>
        <v/>
      </c>
      <c r="I16" s="43" t="str">
        <f t="shared" si="5"/>
        <v/>
      </c>
      <c r="J16" s="43" t="str">
        <f t="shared" si="6"/>
        <v/>
      </c>
      <c r="K16" s="33"/>
    </row>
    <row r="17" spans="1:12" x14ac:dyDescent="0.3">
      <c r="A17" s="10"/>
      <c r="B17" s="37" t="str">
        <f t="shared" si="3"/>
        <v/>
      </c>
      <c r="C17" s="10"/>
      <c r="D17" s="41"/>
      <c r="E17" s="43" t="str">
        <f t="shared" si="0"/>
        <v/>
      </c>
      <c r="F17" s="43" t="str">
        <f t="shared" si="1"/>
        <v/>
      </c>
      <c r="G17" s="43" t="str">
        <f t="shared" si="2"/>
        <v/>
      </c>
      <c r="H17" s="43" t="str">
        <f t="shared" si="4"/>
        <v/>
      </c>
      <c r="I17" s="43" t="str">
        <f t="shared" si="5"/>
        <v/>
      </c>
      <c r="J17" s="43" t="str">
        <f t="shared" si="6"/>
        <v/>
      </c>
      <c r="K17" s="33"/>
    </row>
    <row r="18" spans="1:12" x14ac:dyDescent="0.3">
      <c r="A18" s="10"/>
      <c r="B18" s="37" t="str">
        <f t="shared" si="3"/>
        <v/>
      </c>
      <c r="C18" s="10"/>
      <c r="D18" s="41"/>
      <c r="E18" s="43" t="str">
        <f t="shared" si="0"/>
        <v/>
      </c>
      <c r="F18" s="43" t="str">
        <f t="shared" si="1"/>
        <v/>
      </c>
      <c r="G18" s="43" t="str">
        <f t="shared" si="2"/>
        <v/>
      </c>
      <c r="H18" s="43" t="str">
        <f t="shared" si="4"/>
        <v/>
      </c>
      <c r="I18" s="43" t="str">
        <f t="shared" si="5"/>
        <v/>
      </c>
      <c r="J18" s="43" t="str">
        <f t="shared" si="6"/>
        <v/>
      </c>
      <c r="K18" s="33"/>
    </row>
    <row r="19" spans="1:12" x14ac:dyDescent="0.3">
      <c r="A19" s="10"/>
      <c r="B19" s="37" t="str">
        <f t="shared" si="3"/>
        <v/>
      </c>
      <c r="C19" s="10"/>
      <c r="D19" s="41"/>
      <c r="E19" s="43" t="str">
        <f t="shared" si="0"/>
        <v/>
      </c>
      <c r="F19" s="43" t="str">
        <f t="shared" si="1"/>
        <v/>
      </c>
      <c r="G19" s="43" t="str">
        <f t="shared" si="2"/>
        <v/>
      </c>
      <c r="H19" s="43" t="str">
        <f t="shared" si="4"/>
        <v/>
      </c>
      <c r="I19" s="43" t="str">
        <f t="shared" si="5"/>
        <v/>
      </c>
      <c r="J19" s="43" t="str">
        <f t="shared" si="6"/>
        <v/>
      </c>
      <c r="K19" s="33"/>
    </row>
    <row r="20" spans="1:12" x14ac:dyDescent="0.3">
      <c r="A20" s="10"/>
      <c r="B20" s="37" t="str">
        <f t="shared" si="3"/>
        <v/>
      </c>
      <c r="C20" s="10"/>
      <c r="D20" s="41"/>
      <c r="E20" s="43" t="str">
        <f t="shared" si="0"/>
        <v/>
      </c>
      <c r="F20" s="43" t="str">
        <f t="shared" si="1"/>
        <v/>
      </c>
      <c r="G20" s="43" t="str">
        <f t="shared" si="2"/>
        <v/>
      </c>
      <c r="H20" s="43" t="str">
        <f t="shared" si="4"/>
        <v/>
      </c>
      <c r="I20" s="43" t="str">
        <f t="shared" si="5"/>
        <v/>
      </c>
      <c r="J20" s="43" t="str">
        <f t="shared" si="6"/>
        <v/>
      </c>
      <c r="K20" s="33"/>
    </row>
    <row r="21" spans="1:12" x14ac:dyDescent="0.3">
      <c r="A21" s="10"/>
      <c r="B21" s="37" t="str">
        <f t="shared" si="3"/>
        <v/>
      </c>
      <c r="C21" s="10"/>
      <c r="D21" s="41"/>
      <c r="E21" s="43" t="str">
        <f t="shared" si="0"/>
        <v/>
      </c>
      <c r="F21" s="43" t="str">
        <f t="shared" si="1"/>
        <v/>
      </c>
      <c r="G21" s="43" t="str">
        <f t="shared" si="2"/>
        <v/>
      </c>
      <c r="H21" s="43" t="str">
        <f t="shared" si="4"/>
        <v/>
      </c>
      <c r="I21" s="43" t="str">
        <f t="shared" si="5"/>
        <v/>
      </c>
      <c r="J21" s="43" t="str">
        <f t="shared" si="6"/>
        <v/>
      </c>
      <c r="K21" s="33"/>
    </row>
    <row r="22" spans="1:12" x14ac:dyDescent="0.3">
      <c r="A22" s="10"/>
      <c r="B22" s="37" t="str">
        <f t="shared" si="3"/>
        <v/>
      </c>
      <c r="C22" s="10"/>
      <c r="D22" s="41"/>
      <c r="E22" s="43" t="str">
        <f t="shared" si="0"/>
        <v/>
      </c>
      <c r="F22" s="43" t="str">
        <f t="shared" si="1"/>
        <v/>
      </c>
      <c r="G22" s="43" t="str">
        <f t="shared" si="2"/>
        <v/>
      </c>
      <c r="H22" s="43" t="str">
        <f t="shared" si="4"/>
        <v/>
      </c>
      <c r="I22" s="43" t="str">
        <f t="shared" si="5"/>
        <v/>
      </c>
      <c r="J22" s="43" t="str">
        <f t="shared" si="6"/>
        <v/>
      </c>
      <c r="K22" s="33"/>
    </row>
    <row r="23" spans="1:12" x14ac:dyDescent="0.3">
      <c r="A23" s="13" t="s">
        <v>12</v>
      </c>
      <c r="B23" s="13"/>
      <c r="C23" s="13"/>
      <c r="D23" s="44"/>
      <c r="E23" s="45">
        <f ca="1">SUM(E4:E22)</f>
        <v>0.14583333333333326</v>
      </c>
      <c r="F23" s="45">
        <f ca="1">SUM(F4:F22)</f>
        <v>0</v>
      </c>
      <c r="G23" s="45">
        <f ca="1">SUM(G4:G22)</f>
        <v>0.16666666666666663</v>
      </c>
      <c r="H23" s="45">
        <f>SUM(H4:H22)</f>
        <v>0</v>
      </c>
      <c r="I23" s="45">
        <f t="shared" ref="I23:J23" si="7">SUM(I4:I22)</f>
        <v>0</v>
      </c>
      <c r="J23" s="45">
        <f t="shared" si="7"/>
        <v>0</v>
      </c>
      <c r="K23" s="34"/>
      <c r="L23" s="14"/>
    </row>
    <row r="24" spans="1:12" x14ac:dyDescent="0.3">
      <c r="A24" s="15"/>
      <c r="B24" s="15"/>
      <c r="C24" s="15"/>
      <c r="D24" s="40" t="s">
        <v>10</v>
      </c>
      <c r="E24" s="46"/>
      <c r="F24" s="46"/>
      <c r="G24" s="46"/>
      <c r="H24" s="46"/>
      <c r="I24" s="46"/>
      <c r="J24" s="46"/>
      <c r="K24" s="32"/>
      <c r="L24" s="4"/>
    </row>
    <row r="25" spans="1:12" x14ac:dyDescent="0.3">
      <c r="A25" s="10" t="s">
        <v>9</v>
      </c>
      <c r="B25" s="8"/>
      <c r="C25" s="9"/>
      <c r="D25" s="41">
        <v>0.375</v>
      </c>
      <c r="E25" s="47"/>
      <c r="F25" s="47"/>
      <c r="G25" s="47"/>
      <c r="H25" s="47"/>
      <c r="I25" s="47"/>
      <c r="J25" s="47"/>
      <c r="K25" s="33"/>
      <c r="L25" s="4"/>
    </row>
    <row r="26" spans="1:12" x14ac:dyDescent="0.3">
      <c r="A26" s="10" t="s">
        <v>31</v>
      </c>
      <c r="B26" s="37" t="str">
        <f t="shared" ref="B26:B43" ca="1" si="8">IF(A26="","",INDEX(Number_list,MATCH(A26,Project_list,0)))</f>
        <v>admin1</v>
      </c>
      <c r="C26" s="10"/>
      <c r="D26" s="41">
        <v>0.41666666666666669</v>
      </c>
      <c r="E26" s="43" t="str">
        <f t="shared" ref="E26:E43" ca="1" si="9">IF($A26="","",IF(LEFT(INDEX(Number_list,MATCH($A26,Project_list,0)),2)="20",$D26-$D25,""))</f>
        <v/>
      </c>
      <c r="F26" s="43" t="str">
        <f t="shared" ref="F26:F43" ca="1" si="10">IF($A26="","",IF(LEFT(INDEX(Number_list,MATCH($A26,Project_list,0)),2)="NC",$D26-$D25,""))</f>
        <v/>
      </c>
      <c r="G26" s="43">
        <f t="shared" ref="G26:G43" ca="1" si="11">IF($A26="","",IF(LEFT(INDEX(Number_list,MATCH($A26,Project_list,0)),5)="admin",$D26-$D25,""))</f>
        <v>4.1666666666666685E-2</v>
      </c>
      <c r="H26" s="43" t="str">
        <f>IF($A26="full day holiday",7.5/24,IF($A26="1/2 day holiday",3.75/24,""))</f>
        <v/>
      </c>
      <c r="I26" s="43" t="str">
        <f>IF($A26="bank holiday",7.5/24,"")</f>
        <v/>
      </c>
      <c r="J26" s="43" t="str">
        <f>IF($A26="full day sick",7.5/24,IF($A26="1/2 day sick",3.75/24,""))</f>
        <v/>
      </c>
      <c r="K26" s="33"/>
      <c r="L26" s="4"/>
    </row>
    <row r="27" spans="1:12" x14ac:dyDescent="0.3">
      <c r="A27" s="10" t="s">
        <v>33</v>
      </c>
      <c r="B27" s="37" t="str">
        <f t="shared" ca="1" si="8"/>
        <v>2021/002</v>
      </c>
      <c r="C27" s="10"/>
      <c r="D27" s="41">
        <v>0.54166666666666663</v>
      </c>
      <c r="E27" s="43">
        <f t="shared" ca="1" si="9"/>
        <v>0.12499999999999994</v>
      </c>
      <c r="F27" s="43" t="str">
        <f t="shared" ca="1" si="10"/>
        <v/>
      </c>
      <c r="G27" s="43" t="str">
        <f t="shared" ca="1" si="11"/>
        <v/>
      </c>
      <c r="H27" s="43" t="str">
        <f t="shared" ref="H27:H43" si="12">IF($A27="full day holiday",7.5/24,IF($A27="1/2 day holiday",3.75/24,""))</f>
        <v/>
      </c>
      <c r="I27" s="43" t="str">
        <f t="shared" ref="I27:I43" si="13">IF($A27="bank holiday",7.5/24,"")</f>
        <v/>
      </c>
      <c r="J27" s="43" t="str">
        <f>IF($A27="full day sick",7.5/24,IF($A27="1/2 day sick",3.75/24,""))</f>
        <v/>
      </c>
      <c r="K27" s="33"/>
      <c r="L27" s="4"/>
    </row>
    <row r="28" spans="1:12" x14ac:dyDescent="0.3">
      <c r="A28" s="10"/>
      <c r="B28" s="37" t="str">
        <f t="shared" si="8"/>
        <v/>
      </c>
      <c r="C28" s="10"/>
      <c r="D28" s="41">
        <v>0.58333333333333337</v>
      </c>
      <c r="E28" s="43" t="str">
        <f t="shared" si="9"/>
        <v/>
      </c>
      <c r="F28" s="43" t="str">
        <f t="shared" si="10"/>
        <v/>
      </c>
      <c r="G28" s="43" t="str">
        <f t="shared" si="11"/>
        <v/>
      </c>
      <c r="H28" s="43" t="str">
        <f t="shared" si="12"/>
        <v/>
      </c>
      <c r="I28" s="43" t="str">
        <f t="shared" si="13"/>
        <v/>
      </c>
      <c r="J28" s="43" t="str">
        <f t="shared" ref="J28:J43" si="14">IF($A28="full day sick",7.5/24,IF($A28="1/2 day sick",3.75/24,""))</f>
        <v/>
      </c>
      <c r="K28" s="33"/>
      <c r="L28" s="4"/>
    </row>
    <row r="29" spans="1:12" x14ac:dyDescent="0.3">
      <c r="A29" s="10" t="s">
        <v>33</v>
      </c>
      <c r="B29" s="37" t="str">
        <f t="shared" ca="1" si="8"/>
        <v>2021/002</v>
      </c>
      <c r="C29" s="10"/>
      <c r="D29" s="41">
        <v>0.72916666666666663</v>
      </c>
      <c r="E29" s="43">
        <f t="shared" ca="1" si="9"/>
        <v>0.14583333333333326</v>
      </c>
      <c r="F29" s="43" t="str">
        <f t="shared" ca="1" si="10"/>
        <v/>
      </c>
      <c r="G29" s="43" t="str">
        <f t="shared" ca="1" si="11"/>
        <v/>
      </c>
      <c r="H29" s="43" t="str">
        <f t="shared" si="12"/>
        <v/>
      </c>
      <c r="I29" s="43" t="str">
        <f t="shared" si="13"/>
        <v/>
      </c>
      <c r="J29" s="43" t="str">
        <f t="shared" si="14"/>
        <v/>
      </c>
      <c r="K29" s="33"/>
      <c r="L29" s="4"/>
    </row>
    <row r="30" spans="1:12" x14ac:dyDescent="0.3">
      <c r="A30" s="10"/>
      <c r="B30" s="37" t="str">
        <f t="shared" si="8"/>
        <v/>
      </c>
      <c r="C30" s="10"/>
      <c r="D30" s="41"/>
      <c r="E30" s="43" t="str">
        <f t="shared" si="9"/>
        <v/>
      </c>
      <c r="F30" s="43" t="str">
        <f t="shared" si="10"/>
        <v/>
      </c>
      <c r="G30" s="43" t="str">
        <f t="shared" si="11"/>
        <v/>
      </c>
      <c r="H30" s="43" t="str">
        <f t="shared" si="12"/>
        <v/>
      </c>
      <c r="I30" s="43" t="str">
        <f t="shared" si="13"/>
        <v/>
      </c>
      <c r="J30" s="43" t="str">
        <f t="shared" si="14"/>
        <v/>
      </c>
      <c r="K30" s="33"/>
      <c r="L30" s="4"/>
    </row>
    <row r="31" spans="1:12" x14ac:dyDescent="0.3">
      <c r="A31" s="10"/>
      <c r="B31" s="37" t="str">
        <f t="shared" si="8"/>
        <v/>
      </c>
      <c r="C31" s="10"/>
      <c r="D31" s="41"/>
      <c r="E31" s="43" t="str">
        <f t="shared" si="9"/>
        <v/>
      </c>
      <c r="F31" s="43" t="str">
        <f t="shared" si="10"/>
        <v/>
      </c>
      <c r="G31" s="43" t="str">
        <f t="shared" si="11"/>
        <v/>
      </c>
      <c r="H31" s="43" t="str">
        <f t="shared" si="12"/>
        <v/>
      </c>
      <c r="I31" s="43" t="str">
        <f t="shared" si="13"/>
        <v/>
      </c>
      <c r="J31" s="43" t="str">
        <f t="shared" si="14"/>
        <v/>
      </c>
      <c r="K31" s="33"/>
      <c r="L31" s="4"/>
    </row>
    <row r="32" spans="1:12" x14ac:dyDescent="0.3">
      <c r="A32" s="10"/>
      <c r="B32" s="37" t="str">
        <f t="shared" si="8"/>
        <v/>
      </c>
      <c r="C32" s="10"/>
      <c r="D32" s="41"/>
      <c r="E32" s="43" t="str">
        <f t="shared" si="9"/>
        <v/>
      </c>
      <c r="F32" s="43" t="str">
        <f t="shared" si="10"/>
        <v/>
      </c>
      <c r="G32" s="43" t="str">
        <f t="shared" si="11"/>
        <v/>
      </c>
      <c r="H32" s="43" t="str">
        <f t="shared" si="12"/>
        <v/>
      </c>
      <c r="I32" s="43" t="str">
        <f t="shared" si="13"/>
        <v/>
      </c>
      <c r="J32" s="43" t="str">
        <f t="shared" si="14"/>
        <v/>
      </c>
      <c r="K32" s="33"/>
      <c r="L32" s="4"/>
    </row>
    <row r="33" spans="1:12" x14ac:dyDescent="0.3">
      <c r="A33" s="10"/>
      <c r="B33" s="37" t="str">
        <f t="shared" si="8"/>
        <v/>
      </c>
      <c r="C33" s="10"/>
      <c r="D33" s="41"/>
      <c r="E33" s="43" t="str">
        <f t="shared" si="9"/>
        <v/>
      </c>
      <c r="F33" s="43" t="str">
        <f t="shared" si="10"/>
        <v/>
      </c>
      <c r="G33" s="43" t="str">
        <f t="shared" si="11"/>
        <v/>
      </c>
      <c r="H33" s="43" t="str">
        <f t="shared" si="12"/>
        <v/>
      </c>
      <c r="I33" s="43" t="str">
        <f t="shared" si="13"/>
        <v/>
      </c>
      <c r="J33" s="43" t="str">
        <f t="shared" si="14"/>
        <v/>
      </c>
      <c r="K33" s="33"/>
      <c r="L33" s="4"/>
    </row>
    <row r="34" spans="1:12" x14ac:dyDescent="0.3">
      <c r="A34" s="10"/>
      <c r="B34" s="37" t="str">
        <f t="shared" si="8"/>
        <v/>
      </c>
      <c r="C34" s="10"/>
      <c r="D34" s="41"/>
      <c r="E34" s="43" t="str">
        <f t="shared" si="9"/>
        <v/>
      </c>
      <c r="F34" s="43" t="str">
        <f t="shared" si="10"/>
        <v/>
      </c>
      <c r="G34" s="43" t="str">
        <f t="shared" si="11"/>
        <v/>
      </c>
      <c r="H34" s="43" t="str">
        <f>IF($A34="full day holiday",7.5/24,IF($A34="1/2 day holiday",3.75/24,""))</f>
        <v/>
      </c>
      <c r="I34" s="43" t="str">
        <f t="shared" si="13"/>
        <v/>
      </c>
      <c r="J34" s="43" t="str">
        <f t="shared" si="14"/>
        <v/>
      </c>
      <c r="K34" s="33"/>
      <c r="L34" s="4"/>
    </row>
    <row r="35" spans="1:12" x14ac:dyDescent="0.3">
      <c r="A35" s="10"/>
      <c r="B35" s="37" t="str">
        <f t="shared" si="8"/>
        <v/>
      </c>
      <c r="C35" s="10"/>
      <c r="D35" s="41"/>
      <c r="E35" s="43" t="str">
        <f t="shared" si="9"/>
        <v/>
      </c>
      <c r="F35" s="43" t="str">
        <f t="shared" si="10"/>
        <v/>
      </c>
      <c r="G35" s="43" t="str">
        <f t="shared" si="11"/>
        <v/>
      </c>
      <c r="H35" s="43" t="str">
        <f t="shared" si="12"/>
        <v/>
      </c>
      <c r="I35" s="43" t="str">
        <f t="shared" si="13"/>
        <v/>
      </c>
      <c r="J35" s="43" t="str">
        <f>IF($A35="full day sick",7.5/24,IF($A35="1/2 day sick",3.75/24,""))</f>
        <v/>
      </c>
      <c r="K35" s="33"/>
    </row>
    <row r="36" spans="1:12" x14ac:dyDescent="0.3">
      <c r="A36" s="10"/>
      <c r="B36" s="37" t="str">
        <f t="shared" si="8"/>
        <v/>
      </c>
      <c r="C36" s="10"/>
      <c r="D36" s="41"/>
      <c r="E36" s="43" t="str">
        <f t="shared" si="9"/>
        <v/>
      </c>
      <c r="F36" s="43" t="str">
        <f t="shared" si="10"/>
        <v/>
      </c>
      <c r="G36" s="43" t="str">
        <f t="shared" si="11"/>
        <v/>
      </c>
      <c r="H36" s="43" t="str">
        <f t="shared" si="12"/>
        <v/>
      </c>
      <c r="I36" s="43" t="str">
        <f t="shared" si="13"/>
        <v/>
      </c>
      <c r="J36" s="43" t="str">
        <f t="shared" si="14"/>
        <v/>
      </c>
      <c r="K36" s="33"/>
    </row>
    <row r="37" spans="1:12" x14ac:dyDescent="0.3">
      <c r="A37" s="10"/>
      <c r="B37" s="37" t="str">
        <f t="shared" si="8"/>
        <v/>
      </c>
      <c r="C37" s="10"/>
      <c r="D37" s="41"/>
      <c r="E37" s="43" t="str">
        <f t="shared" si="9"/>
        <v/>
      </c>
      <c r="F37" s="43" t="str">
        <f t="shared" si="10"/>
        <v/>
      </c>
      <c r="G37" s="43" t="str">
        <f t="shared" si="11"/>
        <v/>
      </c>
      <c r="H37" s="43" t="str">
        <f t="shared" si="12"/>
        <v/>
      </c>
      <c r="I37" s="43" t="str">
        <f t="shared" si="13"/>
        <v/>
      </c>
      <c r="J37" s="43" t="str">
        <f t="shared" si="14"/>
        <v/>
      </c>
      <c r="K37" s="33"/>
    </row>
    <row r="38" spans="1:12" x14ac:dyDescent="0.3">
      <c r="A38" s="10"/>
      <c r="B38" s="37" t="str">
        <f t="shared" si="8"/>
        <v/>
      </c>
      <c r="C38" s="10"/>
      <c r="D38" s="41"/>
      <c r="E38" s="43" t="str">
        <f t="shared" si="9"/>
        <v/>
      </c>
      <c r="F38" s="43" t="str">
        <f t="shared" si="10"/>
        <v/>
      </c>
      <c r="G38" s="43" t="str">
        <f t="shared" si="11"/>
        <v/>
      </c>
      <c r="H38" s="43" t="str">
        <f t="shared" si="12"/>
        <v/>
      </c>
      <c r="I38" s="43" t="str">
        <f t="shared" si="13"/>
        <v/>
      </c>
      <c r="J38" s="43" t="str">
        <f t="shared" si="14"/>
        <v/>
      </c>
      <c r="K38" s="33"/>
    </row>
    <row r="39" spans="1:12" x14ac:dyDescent="0.3">
      <c r="A39" s="10"/>
      <c r="B39" s="37" t="str">
        <f t="shared" si="8"/>
        <v/>
      </c>
      <c r="C39" s="10"/>
      <c r="D39" s="41"/>
      <c r="E39" s="43" t="str">
        <f t="shared" si="9"/>
        <v/>
      </c>
      <c r="F39" s="43" t="str">
        <f t="shared" si="10"/>
        <v/>
      </c>
      <c r="G39" s="43" t="str">
        <f t="shared" si="11"/>
        <v/>
      </c>
      <c r="H39" s="43" t="str">
        <f t="shared" si="12"/>
        <v/>
      </c>
      <c r="I39" s="43" t="str">
        <f t="shared" si="13"/>
        <v/>
      </c>
      <c r="J39" s="43" t="str">
        <f t="shared" si="14"/>
        <v/>
      </c>
      <c r="K39" s="33"/>
    </row>
    <row r="40" spans="1:12" x14ac:dyDescent="0.3">
      <c r="A40" s="10"/>
      <c r="B40" s="37" t="str">
        <f t="shared" si="8"/>
        <v/>
      </c>
      <c r="C40" s="10"/>
      <c r="D40" s="41"/>
      <c r="E40" s="43" t="str">
        <f t="shared" si="9"/>
        <v/>
      </c>
      <c r="F40" s="43" t="str">
        <f t="shared" si="10"/>
        <v/>
      </c>
      <c r="G40" s="43" t="str">
        <f t="shared" si="11"/>
        <v/>
      </c>
      <c r="H40" s="43" t="str">
        <f t="shared" si="12"/>
        <v/>
      </c>
      <c r="I40" s="43" t="str">
        <f t="shared" si="13"/>
        <v/>
      </c>
      <c r="J40" s="43" t="str">
        <f t="shared" si="14"/>
        <v/>
      </c>
      <c r="K40" s="33"/>
    </row>
    <row r="41" spans="1:12" x14ac:dyDescent="0.3">
      <c r="A41" s="10"/>
      <c r="B41" s="37" t="str">
        <f t="shared" si="8"/>
        <v/>
      </c>
      <c r="C41" s="10"/>
      <c r="D41" s="41"/>
      <c r="E41" s="43" t="str">
        <f t="shared" si="9"/>
        <v/>
      </c>
      <c r="F41" s="43" t="str">
        <f t="shared" si="10"/>
        <v/>
      </c>
      <c r="G41" s="43" t="str">
        <f t="shared" si="11"/>
        <v/>
      </c>
      <c r="H41" s="43" t="str">
        <f t="shared" si="12"/>
        <v/>
      </c>
      <c r="I41" s="43" t="str">
        <f t="shared" si="13"/>
        <v/>
      </c>
      <c r="J41" s="43" t="str">
        <f t="shared" si="14"/>
        <v/>
      </c>
      <c r="K41" s="33"/>
    </row>
    <row r="42" spans="1:12" x14ac:dyDescent="0.3">
      <c r="A42" s="10"/>
      <c r="B42" s="37" t="str">
        <f t="shared" si="8"/>
        <v/>
      </c>
      <c r="C42" s="10"/>
      <c r="D42" s="41"/>
      <c r="E42" s="43" t="str">
        <f t="shared" si="9"/>
        <v/>
      </c>
      <c r="F42" s="43" t="str">
        <f t="shared" si="10"/>
        <v/>
      </c>
      <c r="G42" s="43" t="str">
        <f t="shared" si="11"/>
        <v/>
      </c>
      <c r="H42" s="43" t="str">
        <f t="shared" si="12"/>
        <v/>
      </c>
      <c r="I42" s="43" t="str">
        <f t="shared" si="13"/>
        <v/>
      </c>
      <c r="J42" s="43" t="str">
        <f t="shared" si="14"/>
        <v/>
      </c>
      <c r="K42" s="33"/>
    </row>
    <row r="43" spans="1:12" x14ac:dyDescent="0.3">
      <c r="A43" s="10"/>
      <c r="B43" s="37" t="str">
        <f t="shared" si="8"/>
        <v/>
      </c>
      <c r="C43" s="10"/>
      <c r="D43" s="41"/>
      <c r="E43" s="43" t="str">
        <f t="shared" si="9"/>
        <v/>
      </c>
      <c r="F43" s="43" t="str">
        <f t="shared" si="10"/>
        <v/>
      </c>
      <c r="G43" s="43" t="str">
        <f t="shared" si="11"/>
        <v/>
      </c>
      <c r="H43" s="43" t="str">
        <f t="shared" si="12"/>
        <v/>
      </c>
      <c r="I43" s="43" t="str">
        <f t="shared" si="13"/>
        <v/>
      </c>
      <c r="J43" s="43" t="str">
        <f t="shared" si="14"/>
        <v/>
      </c>
      <c r="K43" s="33"/>
    </row>
    <row r="44" spans="1:12" x14ac:dyDescent="0.3">
      <c r="A44" s="13" t="s">
        <v>12</v>
      </c>
      <c r="B44" s="13"/>
      <c r="C44" s="13"/>
      <c r="D44" s="44"/>
      <c r="E44" s="45">
        <f ca="1">SUM(E25:E43)</f>
        <v>0.2708333333333332</v>
      </c>
      <c r="F44" s="45">
        <f ca="1">SUM(F25:F43)</f>
        <v>0</v>
      </c>
      <c r="G44" s="45">
        <f ca="1">SUM(G25:G43)</f>
        <v>4.1666666666666685E-2</v>
      </c>
      <c r="H44" s="45">
        <f>SUM(H25:H43)</f>
        <v>0</v>
      </c>
      <c r="I44" s="45">
        <f t="shared" ref="I44:J44" si="15">SUM(I25:I43)</f>
        <v>0</v>
      </c>
      <c r="J44" s="45">
        <f t="shared" si="15"/>
        <v>0</v>
      </c>
      <c r="K44" s="34"/>
      <c r="L44" s="14"/>
    </row>
    <row r="45" spans="1:12" x14ac:dyDescent="0.3">
      <c r="A45" s="15"/>
      <c r="B45" s="15"/>
      <c r="C45" s="15"/>
      <c r="D45" s="40" t="s">
        <v>11</v>
      </c>
      <c r="E45" s="46"/>
      <c r="F45" s="46"/>
      <c r="G45" s="46"/>
      <c r="H45" s="46"/>
      <c r="I45" s="46"/>
      <c r="J45" s="46"/>
      <c r="K45" s="32"/>
      <c r="L45" s="4"/>
    </row>
    <row r="46" spans="1:12" x14ac:dyDescent="0.3">
      <c r="A46" s="16" t="s">
        <v>9</v>
      </c>
      <c r="B46" s="8"/>
      <c r="C46" s="9"/>
      <c r="D46" s="41">
        <v>0.375</v>
      </c>
      <c r="E46" s="47"/>
      <c r="F46" s="47"/>
      <c r="G46" s="47"/>
      <c r="H46" s="47"/>
      <c r="I46" s="47"/>
      <c r="J46" s="47"/>
      <c r="K46" s="33"/>
      <c r="L46" s="4"/>
    </row>
    <row r="47" spans="1:12" x14ac:dyDescent="0.3">
      <c r="A47" s="10" t="s">
        <v>34</v>
      </c>
      <c r="B47" s="37" t="str">
        <f t="shared" ref="B47:B64" ca="1" si="16">IF(A47="","",INDEX(Number_list,MATCH(A47,Project_list,0)))</f>
        <v>Holiday</v>
      </c>
      <c r="C47" s="10"/>
      <c r="D47" s="41"/>
      <c r="E47" s="43" t="str">
        <f t="shared" ref="E47:E64" ca="1" si="17">IF($A47="","",IF(LEFT(INDEX(Number_list,MATCH($A47,Project_list,0)),2)="20",$D47-$D46,""))</f>
        <v/>
      </c>
      <c r="F47" s="43" t="str">
        <f t="shared" ref="F47:F64" ca="1" si="18">IF($A47="","",IF(LEFT(INDEX(Number_list,MATCH($A47,Project_list,0)),2)="NC",$D47-$D46,""))</f>
        <v/>
      </c>
      <c r="G47" s="43" t="str">
        <f t="shared" ref="G47:G64" ca="1" si="19">IF($A47="","",IF(LEFT(INDEX(Number_list,MATCH($A47,Project_list,0)),5)="admin",$D47-$D46,""))</f>
        <v/>
      </c>
      <c r="H47" s="43">
        <f>IF($A47="full day holiday",7.5/24,IF($A47="1/2 day holiday",3.75/24,""))</f>
        <v>0.3125</v>
      </c>
      <c r="I47" s="43" t="str">
        <f>IF($A47="bank holiday",7.5/24,"")</f>
        <v/>
      </c>
      <c r="J47" s="43" t="str">
        <f>IF($A47="full day sick",7.5/24,IF($A47="1/2 day sick",3.75/24,""))</f>
        <v/>
      </c>
      <c r="K47" s="33"/>
      <c r="L47" s="4"/>
    </row>
    <row r="48" spans="1:12" x14ac:dyDescent="0.3">
      <c r="A48" s="10"/>
      <c r="B48" s="37" t="str">
        <f t="shared" si="16"/>
        <v/>
      </c>
      <c r="C48" s="10"/>
      <c r="D48" s="41"/>
      <c r="E48" s="43" t="str">
        <f t="shared" si="17"/>
        <v/>
      </c>
      <c r="F48" s="43" t="str">
        <f t="shared" si="18"/>
        <v/>
      </c>
      <c r="G48" s="43" t="str">
        <f t="shared" si="19"/>
        <v/>
      </c>
      <c r="H48" s="43" t="str">
        <f t="shared" ref="H48:H64" si="20">IF($A48="full day holiday",7.5/24,IF($A48="1/2 day holiday",3.75/24,""))</f>
        <v/>
      </c>
      <c r="I48" s="43" t="str">
        <f t="shared" ref="I48:I64" si="21">IF($A48="bank holiday",7.5/24,"")</f>
        <v/>
      </c>
      <c r="J48" s="43" t="str">
        <f>IF($A48="full day sick",7.5/24,IF($A48="1/2 day sick",3.75/24,""))</f>
        <v/>
      </c>
      <c r="K48" s="33"/>
      <c r="L48" s="4"/>
    </row>
    <row r="49" spans="1:12" x14ac:dyDescent="0.3">
      <c r="A49" s="10"/>
      <c r="B49" s="37" t="str">
        <f t="shared" si="16"/>
        <v/>
      </c>
      <c r="C49" s="10"/>
      <c r="D49" s="41"/>
      <c r="E49" s="43" t="str">
        <f t="shared" si="17"/>
        <v/>
      </c>
      <c r="F49" s="43" t="str">
        <f t="shared" si="18"/>
        <v/>
      </c>
      <c r="G49" s="43" t="str">
        <f t="shared" si="19"/>
        <v/>
      </c>
      <c r="H49" s="43" t="str">
        <f t="shared" si="20"/>
        <v/>
      </c>
      <c r="I49" s="43" t="str">
        <f t="shared" si="21"/>
        <v/>
      </c>
      <c r="J49" s="43" t="str">
        <f t="shared" ref="J49:J64" si="22">IF($A49="full day sick",7.5/24,IF($A49="1/2 day sick",3.75/24,""))</f>
        <v/>
      </c>
      <c r="K49" s="33"/>
      <c r="L49" s="4"/>
    </row>
    <row r="50" spans="1:12" x14ac:dyDescent="0.3">
      <c r="A50" s="10"/>
      <c r="B50" s="37" t="str">
        <f t="shared" si="16"/>
        <v/>
      </c>
      <c r="C50" s="10"/>
      <c r="D50" s="41"/>
      <c r="E50" s="43" t="str">
        <f t="shared" si="17"/>
        <v/>
      </c>
      <c r="F50" s="43" t="str">
        <f t="shared" si="18"/>
        <v/>
      </c>
      <c r="G50" s="43" t="str">
        <f t="shared" si="19"/>
        <v/>
      </c>
      <c r="H50" s="43" t="str">
        <f t="shared" si="20"/>
        <v/>
      </c>
      <c r="I50" s="43" t="str">
        <f t="shared" si="21"/>
        <v/>
      </c>
      <c r="J50" s="43" t="str">
        <f t="shared" si="22"/>
        <v/>
      </c>
      <c r="K50" s="33"/>
      <c r="L50" s="4"/>
    </row>
    <row r="51" spans="1:12" x14ac:dyDescent="0.3">
      <c r="A51" s="10"/>
      <c r="B51" s="37" t="str">
        <f t="shared" si="16"/>
        <v/>
      </c>
      <c r="C51" s="10"/>
      <c r="D51" s="41"/>
      <c r="E51" s="43" t="str">
        <f t="shared" si="17"/>
        <v/>
      </c>
      <c r="F51" s="43" t="str">
        <f t="shared" si="18"/>
        <v/>
      </c>
      <c r="G51" s="43" t="str">
        <f t="shared" si="19"/>
        <v/>
      </c>
      <c r="H51" s="43" t="str">
        <f t="shared" si="20"/>
        <v/>
      </c>
      <c r="I51" s="43" t="str">
        <f t="shared" si="21"/>
        <v/>
      </c>
      <c r="J51" s="43" t="str">
        <f t="shared" si="22"/>
        <v/>
      </c>
      <c r="K51" s="33"/>
      <c r="L51" s="4"/>
    </row>
    <row r="52" spans="1:12" x14ac:dyDescent="0.3">
      <c r="A52" s="10"/>
      <c r="B52" s="37" t="str">
        <f t="shared" si="16"/>
        <v/>
      </c>
      <c r="C52" s="10"/>
      <c r="D52" s="41"/>
      <c r="E52" s="43" t="str">
        <f t="shared" si="17"/>
        <v/>
      </c>
      <c r="F52" s="43" t="str">
        <f t="shared" si="18"/>
        <v/>
      </c>
      <c r="G52" s="43" t="str">
        <f t="shared" si="19"/>
        <v/>
      </c>
      <c r="H52" s="43" t="str">
        <f t="shared" si="20"/>
        <v/>
      </c>
      <c r="I52" s="43" t="str">
        <f t="shared" si="21"/>
        <v/>
      </c>
      <c r="J52" s="43" t="str">
        <f t="shared" si="22"/>
        <v/>
      </c>
      <c r="K52" s="33"/>
      <c r="L52" s="4"/>
    </row>
    <row r="53" spans="1:12" x14ac:dyDescent="0.3">
      <c r="A53" s="10"/>
      <c r="B53" s="37" t="str">
        <f t="shared" si="16"/>
        <v/>
      </c>
      <c r="C53" s="10"/>
      <c r="D53" s="41"/>
      <c r="E53" s="43" t="str">
        <f t="shared" si="17"/>
        <v/>
      </c>
      <c r="F53" s="43" t="str">
        <f t="shared" si="18"/>
        <v/>
      </c>
      <c r="G53" s="43" t="str">
        <f t="shared" si="19"/>
        <v/>
      </c>
      <c r="H53" s="43" t="str">
        <f t="shared" si="20"/>
        <v/>
      </c>
      <c r="I53" s="43" t="str">
        <f t="shared" si="21"/>
        <v/>
      </c>
      <c r="J53" s="43" t="str">
        <f t="shared" si="22"/>
        <v/>
      </c>
      <c r="K53" s="33"/>
      <c r="L53" s="4"/>
    </row>
    <row r="54" spans="1:12" x14ac:dyDescent="0.3">
      <c r="A54" s="10"/>
      <c r="B54" s="37" t="str">
        <f t="shared" si="16"/>
        <v/>
      </c>
      <c r="C54" s="10"/>
      <c r="D54" s="41"/>
      <c r="E54" s="43" t="str">
        <f t="shared" si="17"/>
        <v/>
      </c>
      <c r="F54" s="43" t="str">
        <f t="shared" si="18"/>
        <v/>
      </c>
      <c r="G54" s="43" t="str">
        <f t="shared" si="19"/>
        <v/>
      </c>
      <c r="H54" s="43" t="str">
        <f t="shared" si="20"/>
        <v/>
      </c>
      <c r="I54" s="43" t="str">
        <f t="shared" si="21"/>
        <v/>
      </c>
      <c r="J54" s="43" t="str">
        <f t="shared" si="22"/>
        <v/>
      </c>
      <c r="K54" s="33"/>
    </row>
    <row r="55" spans="1:12" x14ac:dyDescent="0.3">
      <c r="A55" s="10"/>
      <c r="B55" s="37" t="str">
        <f t="shared" si="16"/>
        <v/>
      </c>
      <c r="C55" s="10"/>
      <c r="D55" s="41"/>
      <c r="E55" s="43" t="str">
        <f t="shared" si="17"/>
        <v/>
      </c>
      <c r="F55" s="43" t="str">
        <f t="shared" si="18"/>
        <v/>
      </c>
      <c r="G55" s="43" t="str">
        <f t="shared" si="19"/>
        <v/>
      </c>
      <c r="H55" s="43" t="str">
        <f>IF($A55="full day holiday",7.5/24,IF($A55="1/2 day holiday",3.75/24,""))</f>
        <v/>
      </c>
      <c r="I55" s="43" t="str">
        <f t="shared" si="21"/>
        <v/>
      </c>
      <c r="J55" s="43" t="str">
        <f t="shared" si="22"/>
        <v/>
      </c>
      <c r="K55" s="33"/>
    </row>
    <row r="56" spans="1:12" x14ac:dyDescent="0.3">
      <c r="A56" s="10"/>
      <c r="B56" s="37" t="str">
        <f t="shared" si="16"/>
        <v/>
      </c>
      <c r="C56" s="10"/>
      <c r="D56" s="41"/>
      <c r="E56" s="43" t="str">
        <f t="shared" si="17"/>
        <v/>
      </c>
      <c r="F56" s="43" t="str">
        <f t="shared" si="18"/>
        <v/>
      </c>
      <c r="G56" s="43" t="str">
        <f t="shared" si="19"/>
        <v/>
      </c>
      <c r="H56" s="43" t="str">
        <f t="shared" si="20"/>
        <v/>
      </c>
      <c r="I56" s="43" t="str">
        <f t="shared" si="21"/>
        <v/>
      </c>
      <c r="J56" s="43" t="str">
        <f>IF($A56="full day sick",7.5/24,IF($A56="1/2 day sick",3.75/24,""))</f>
        <v/>
      </c>
      <c r="K56" s="33"/>
    </row>
    <row r="57" spans="1:12" x14ac:dyDescent="0.3">
      <c r="A57" s="10"/>
      <c r="B57" s="37" t="str">
        <f t="shared" si="16"/>
        <v/>
      </c>
      <c r="C57" s="10"/>
      <c r="D57" s="41"/>
      <c r="E57" s="43" t="str">
        <f t="shared" si="17"/>
        <v/>
      </c>
      <c r="F57" s="43" t="str">
        <f t="shared" si="18"/>
        <v/>
      </c>
      <c r="G57" s="43" t="str">
        <f t="shared" si="19"/>
        <v/>
      </c>
      <c r="H57" s="43" t="str">
        <f t="shared" si="20"/>
        <v/>
      </c>
      <c r="I57" s="43" t="str">
        <f t="shared" si="21"/>
        <v/>
      </c>
      <c r="J57" s="43" t="str">
        <f t="shared" si="22"/>
        <v/>
      </c>
      <c r="K57" s="33"/>
    </row>
    <row r="58" spans="1:12" x14ac:dyDescent="0.3">
      <c r="A58" s="10"/>
      <c r="B58" s="37" t="str">
        <f t="shared" si="16"/>
        <v/>
      </c>
      <c r="C58" s="10"/>
      <c r="D58" s="41"/>
      <c r="E58" s="43" t="str">
        <f t="shared" si="17"/>
        <v/>
      </c>
      <c r="F58" s="43" t="str">
        <f t="shared" si="18"/>
        <v/>
      </c>
      <c r="G58" s="43" t="str">
        <f t="shared" si="19"/>
        <v/>
      </c>
      <c r="H58" s="43" t="str">
        <f t="shared" si="20"/>
        <v/>
      </c>
      <c r="I58" s="43" t="str">
        <f t="shared" si="21"/>
        <v/>
      </c>
      <c r="J58" s="43" t="str">
        <f t="shared" si="22"/>
        <v/>
      </c>
      <c r="K58" s="33"/>
    </row>
    <row r="59" spans="1:12" x14ac:dyDescent="0.3">
      <c r="A59" s="10"/>
      <c r="B59" s="37" t="str">
        <f t="shared" si="16"/>
        <v/>
      </c>
      <c r="C59" s="10"/>
      <c r="D59" s="41"/>
      <c r="E59" s="43" t="str">
        <f t="shared" si="17"/>
        <v/>
      </c>
      <c r="F59" s="43" t="str">
        <f t="shared" si="18"/>
        <v/>
      </c>
      <c r="G59" s="43" t="str">
        <f t="shared" si="19"/>
        <v/>
      </c>
      <c r="H59" s="43" t="str">
        <f t="shared" si="20"/>
        <v/>
      </c>
      <c r="I59" s="43" t="str">
        <f t="shared" si="21"/>
        <v/>
      </c>
      <c r="J59" s="43" t="str">
        <f t="shared" si="22"/>
        <v/>
      </c>
      <c r="K59" s="33"/>
    </row>
    <row r="60" spans="1:12" x14ac:dyDescent="0.3">
      <c r="A60" s="10"/>
      <c r="B60" s="37" t="str">
        <f t="shared" si="16"/>
        <v/>
      </c>
      <c r="C60" s="10"/>
      <c r="D60" s="41"/>
      <c r="E60" s="43" t="str">
        <f t="shared" si="17"/>
        <v/>
      </c>
      <c r="F60" s="43" t="str">
        <f t="shared" si="18"/>
        <v/>
      </c>
      <c r="G60" s="43" t="str">
        <f t="shared" si="19"/>
        <v/>
      </c>
      <c r="H60" s="43" t="str">
        <f t="shared" si="20"/>
        <v/>
      </c>
      <c r="I60" s="43" t="str">
        <f t="shared" si="21"/>
        <v/>
      </c>
      <c r="J60" s="43" t="str">
        <f t="shared" si="22"/>
        <v/>
      </c>
      <c r="K60" s="33"/>
    </row>
    <row r="61" spans="1:12" x14ac:dyDescent="0.3">
      <c r="A61" s="10"/>
      <c r="B61" s="37" t="str">
        <f t="shared" si="16"/>
        <v/>
      </c>
      <c r="C61" s="10"/>
      <c r="D61" s="41"/>
      <c r="E61" s="43" t="str">
        <f t="shared" si="17"/>
        <v/>
      </c>
      <c r="F61" s="43" t="str">
        <f t="shared" si="18"/>
        <v/>
      </c>
      <c r="G61" s="43" t="str">
        <f t="shared" si="19"/>
        <v/>
      </c>
      <c r="H61" s="43" t="str">
        <f t="shared" si="20"/>
        <v/>
      </c>
      <c r="I61" s="43" t="str">
        <f t="shared" si="21"/>
        <v/>
      </c>
      <c r="J61" s="43" t="str">
        <f t="shared" si="22"/>
        <v/>
      </c>
      <c r="K61" s="33"/>
    </row>
    <row r="62" spans="1:12" x14ac:dyDescent="0.3">
      <c r="A62" s="10"/>
      <c r="B62" s="37" t="str">
        <f t="shared" si="16"/>
        <v/>
      </c>
      <c r="C62" s="10"/>
      <c r="D62" s="41"/>
      <c r="E62" s="43" t="str">
        <f t="shared" si="17"/>
        <v/>
      </c>
      <c r="F62" s="43" t="str">
        <f t="shared" si="18"/>
        <v/>
      </c>
      <c r="G62" s="43" t="str">
        <f t="shared" si="19"/>
        <v/>
      </c>
      <c r="H62" s="43" t="str">
        <f t="shared" si="20"/>
        <v/>
      </c>
      <c r="I62" s="43" t="str">
        <f t="shared" si="21"/>
        <v/>
      </c>
      <c r="J62" s="43" t="str">
        <f t="shared" si="22"/>
        <v/>
      </c>
      <c r="K62" s="33"/>
    </row>
    <row r="63" spans="1:12" x14ac:dyDescent="0.3">
      <c r="A63" s="10"/>
      <c r="B63" s="37" t="str">
        <f t="shared" si="16"/>
        <v/>
      </c>
      <c r="C63" s="10"/>
      <c r="D63" s="41"/>
      <c r="E63" s="43" t="str">
        <f t="shared" si="17"/>
        <v/>
      </c>
      <c r="F63" s="43" t="str">
        <f t="shared" si="18"/>
        <v/>
      </c>
      <c r="G63" s="43" t="str">
        <f t="shared" si="19"/>
        <v/>
      </c>
      <c r="H63" s="43" t="str">
        <f t="shared" si="20"/>
        <v/>
      </c>
      <c r="I63" s="43" t="str">
        <f t="shared" si="21"/>
        <v/>
      </c>
      <c r="J63" s="43" t="str">
        <f t="shared" si="22"/>
        <v/>
      </c>
      <c r="K63" s="33"/>
    </row>
    <row r="64" spans="1:12" x14ac:dyDescent="0.3">
      <c r="A64" s="10"/>
      <c r="B64" s="37" t="str">
        <f t="shared" si="16"/>
        <v/>
      </c>
      <c r="C64" s="10"/>
      <c r="D64" s="41"/>
      <c r="E64" s="43" t="str">
        <f t="shared" si="17"/>
        <v/>
      </c>
      <c r="F64" s="43" t="str">
        <f t="shared" si="18"/>
        <v/>
      </c>
      <c r="G64" s="43" t="str">
        <f t="shared" si="19"/>
        <v/>
      </c>
      <c r="H64" s="43" t="str">
        <f t="shared" si="20"/>
        <v/>
      </c>
      <c r="I64" s="43" t="str">
        <f t="shared" si="21"/>
        <v/>
      </c>
      <c r="J64" s="43" t="str">
        <f t="shared" si="22"/>
        <v/>
      </c>
      <c r="K64" s="33"/>
    </row>
    <row r="65" spans="1:12" x14ac:dyDescent="0.3">
      <c r="A65" s="13" t="s">
        <v>12</v>
      </c>
      <c r="B65" s="13"/>
      <c r="C65" s="13"/>
      <c r="D65" s="44"/>
      <c r="E65" s="45">
        <f ca="1">SUM(E46:E64)</f>
        <v>0</v>
      </c>
      <c r="F65" s="45">
        <f ca="1">SUM(F46:F64)</f>
        <v>0</v>
      </c>
      <c r="G65" s="45">
        <f ca="1">SUM(G46:G64)</f>
        <v>0</v>
      </c>
      <c r="H65" s="45">
        <f>SUM(H46:H64)</f>
        <v>0.3125</v>
      </c>
      <c r="I65" s="45">
        <f t="shared" ref="I65:J65" si="23">SUM(I46:I64)</f>
        <v>0</v>
      </c>
      <c r="J65" s="45">
        <f t="shared" si="23"/>
        <v>0</v>
      </c>
      <c r="K65" s="34"/>
      <c r="L65" s="14"/>
    </row>
    <row r="66" spans="1:12" x14ac:dyDescent="0.3">
      <c r="A66" s="15"/>
      <c r="B66" s="15"/>
      <c r="C66" s="15"/>
      <c r="D66" s="40" t="s">
        <v>13</v>
      </c>
      <c r="E66" s="46"/>
      <c r="F66" s="46"/>
      <c r="G66" s="46"/>
      <c r="H66" s="46"/>
      <c r="I66" s="46"/>
      <c r="J66" s="46"/>
      <c r="K66" s="32"/>
      <c r="L66" s="4"/>
    </row>
    <row r="67" spans="1:12" x14ac:dyDescent="0.3">
      <c r="A67" s="16" t="s">
        <v>9</v>
      </c>
      <c r="B67" s="8"/>
      <c r="C67" s="9"/>
      <c r="D67" s="41">
        <v>0.375</v>
      </c>
      <c r="E67" s="47"/>
      <c r="F67" s="47"/>
      <c r="G67" s="47"/>
      <c r="H67" s="47"/>
      <c r="I67" s="47"/>
      <c r="J67" s="47"/>
      <c r="K67" s="33"/>
      <c r="L67" s="4"/>
    </row>
    <row r="68" spans="1:12" x14ac:dyDescent="0.3">
      <c r="A68" s="10" t="s">
        <v>35</v>
      </c>
      <c r="B68" s="37" t="str">
        <f t="shared" ref="B68:B85" ca="1" si="24">IF(A68="","",INDEX(Number_list,MATCH(A68,Project_list,0)))</f>
        <v>NC/002</v>
      </c>
      <c r="C68" s="10"/>
      <c r="D68" s="41">
        <v>0.5625</v>
      </c>
      <c r="E68" s="43" t="str">
        <f t="shared" ref="E68:E85" ca="1" si="25">IF($A68="","",IF(LEFT(INDEX(Number_list,MATCH($A68,Project_list,0)),2)="20",$D68-$D67,""))</f>
        <v/>
      </c>
      <c r="F68" s="43">
        <f t="shared" ref="F68:F85" ca="1" si="26">IF($A68="","",IF(LEFT(INDEX(Number_list,MATCH($A68,Project_list,0)),2)="NC",$D68-$D67,""))</f>
        <v>0.1875</v>
      </c>
      <c r="G68" s="43" t="str">
        <f t="shared" ref="G68:G85" ca="1" si="27">IF($A68="","",IF(LEFT(INDEX(Number_list,MATCH($A68,Project_list,0)),5)="admin",$D68-$D67,""))</f>
        <v/>
      </c>
      <c r="H68" s="43" t="str">
        <f>IF($A68="full day holiday",7.5/24,IF($A68="1/2 day holiday",3.75/24,""))</f>
        <v/>
      </c>
      <c r="I68" s="43" t="str">
        <f>IF($A68="bank holiday",7.5/24,"")</f>
        <v/>
      </c>
      <c r="J68" s="43" t="str">
        <f>IF($A68="full day sick",7.5/24,IF($A68="1/2 day sick",3.75/24,""))</f>
        <v/>
      </c>
      <c r="K68" s="33"/>
      <c r="L68" s="4"/>
    </row>
    <row r="69" spans="1:12" x14ac:dyDescent="0.3">
      <c r="A69" s="10"/>
      <c r="B69" s="37" t="str">
        <f t="shared" si="24"/>
        <v/>
      </c>
      <c r="C69" s="10"/>
      <c r="D69" s="41">
        <v>0.60416666666666663</v>
      </c>
      <c r="E69" s="43" t="str">
        <f t="shared" si="25"/>
        <v/>
      </c>
      <c r="F69" s="43" t="str">
        <f t="shared" si="26"/>
        <v/>
      </c>
      <c r="G69" s="43" t="str">
        <f t="shared" si="27"/>
        <v/>
      </c>
      <c r="H69" s="43" t="str">
        <f t="shared" ref="H69:H85" si="28">IF($A69="full day holiday",7.5/24,IF($A69="1/2 day holiday",3.75/24,""))</f>
        <v/>
      </c>
      <c r="I69" s="43" t="str">
        <f t="shared" ref="I69:I85" si="29">IF($A69="bank holiday",7.5/24,"")</f>
        <v/>
      </c>
      <c r="J69" s="43" t="str">
        <f>IF($A69="full day sick",7.5/24,IF($A69="1/2 day sick",3.75/24,""))</f>
        <v/>
      </c>
      <c r="K69" s="33"/>
    </row>
    <row r="70" spans="1:12" x14ac:dyDescent="0.3">
      <c r="A70" s="10" t="s">
        <v>32</v>
      </c>
      <c r="B70" s="37" t="str">
        <f t="shared" ca="1" si="24"/>
        <v>2021/001</v>
      </c>
      <c r="C70" s="10"/>
      <c r="D70" s="41">
        <v>0.72916666666666663</v>
      </c>
      <c r="E70" s="43">
        <f t="shared" ca="1" si="25"/>
        <v>0.125</v>
      </c>
      <c r="F70" s="43" t="str">
        <f t="shared" ca="1" si="26"/>
        <v/>
      </c>
      <c r="G70" s="43" t="str">
        <f t="shared" ca="1" si="27"/>
        <v/>
      </c>
      <c r="H70" s="43" t="str">
        <f t="shared" si="28"/>
        <v/>
      </c>
      <c r="I70" s="43" t="str">
        <f t="shared" si="29"/>
        <v/>
      </c>
      <c r="J70" s="43" t="str">
        <f t="shared" ref="J70:J85" si="30">IF($A70="full day sick",7.5/24,IF($A70="1/2 day sick",3.75/24,""))</f>
        <v/>
      </c>
      <c r="K70" s="33"/>
    </row>
    <row r="71" spans="1:12" x14ac:dyDescent="0.3">
      <c r="A71" s="10"/>
      <c r="B71" s="37" t="str">
        <f t="shared" si="24"/>
        <v/>
      </c>
      <c r="C71" s="10"/>
      <c r="D71" s="41"/>
      <c r="E71" s="43" t="str">
        <f t="shared" si="25"/>
        <v/>
      </c>
      <c r="F71" s="43" t="str">
        <f t="shared" si="26"/>
        <v/>
      </c>
      <c r="G71" s="43" t="str">
        <f t="shared" si="27"/>
        <v/>
      </c>
      <c r="H71" s="43" t="str">
        <f t="shared" si="28"/>
        <v/>
      </c>
      <c r="I71" s="43" t="str">
        <f t="shared" si="29"/>
        <v/>
      </c>
      <c r="J71" s="43" t="str">
        <f t="shared" si="30"/>
        <v/>
      </c>
      <c r="K71" s="33"/>
    </row>
    <row r="72" spans="1:12" x14ac:dyDescent="0.3">
      <c r="A72" s="10"/>
      <c r="B72" s="37" t="str">
        <f t="shared" si="24"/>
        <v/>
      </c>
      <c r="C72" s="10"/>
      <c r="D72" s="41"/>
      <c r="E72" s="43" t="str">
        <f t="shared" si="25"/>
        <v/>
      </c>
      <c r="F72" s="43" t="str">
        <f t="shared" si="26"/>
        <v/>
      </c>
      <c r="G72" s="43" t="str">
        <f t="shared" si="27"/>
        <v/>
      </c>
      <c r="H72" s="43" t="str">
        <f t="shared" si="28"/>
        <v/>
      </c>
      <c r="I72" s="43" t="str">
        <f t="shared" si="29"/>
        <v/>
      </c>
      <c r="J72" s="43" t="str">
        <f t="shared" si="30"/>
        <v/>
      </c>
      <c r="K72" s="33"/>
    </row>
    <row r="73" spans="1:12" x14ac:dyDescent="0.3">
      <c r="A73" s="10"/>
      <c r="B73" s="37" t="str">
        <f t="shared" si="24"/>
        <v/>
      </c>
      <c r="C73" s="10"/>
      <c r="D73" s="41"/>
      <c r="E73" s="43" t="str">
        <f t="shared" si="25"/>
        <v/>
      </c>
      <c r="F73" s="43" t="str">
        <f t="shared" si="26"/>
        <v/>
      </c>
      <c r="G73" s="43" t="str">
        <f t="shared" si="27"/>
        <v/>
      </c>
      <c r="H73" s="43" t="str">
        <f t="shared" si="28"/>
        <v/>
      </c>
      <c r="I73" s="43" t="str">
        <f t="shared" si="29"/>
        <v/>
      </c>
      <c r="J73" s="43" t="str">
        <f t="shared" si="30"/>
        <v/>
      </c>
      <c r="K73" s="33"/>
    </row>
    <row r="74" spans="1:12" x14ac:dyDescent="0.3">
      <c r="A74" s="10"/>
      <c r="B74" s="37" t="str">
        <f t="shared" si="24"/>
        <v/>
      </c>
      <c r="C74" s="10"/>
      <c r="D74" s="41"/>
      <c r="E74" s="43" t="str">
        <f t="shared" si="25"/>
        <v/>
      </c>
      <c r="F74" s="43" t="str">
        <f t="shared" si="26"/>
        <v/>
      </c>
      <c r="G74" s="43" t="str">
        <f t="shared" si="27"/>
        <v/>
      </c>
      <c r="H74" s="43" t="str">
        <f t="shared" si="28"/>
        <v/>
      </c>
      <c r="I74" s="43" t="str">
        <f t="shared" si="29"/>
        <v/>
      </c>
      <c r="J74" s="43" t="str">
        <f t="shared" si="30"/>
        <v/>
      </c>
      <c r="K74" s="33"/>
    </row>
    <row r="75" spans="1:12" x14ac:dyDescent="0.3">
      <c r="A75" s="10"/>
      <c r="B75" s="37" t="str">
        <f t="shared" si="24"/>
        <v/>
      </c>
      <c r="C75" s="10"/>
      <c r="D75" s="41"/>
      <c r="E75" s="43" t="str">
        <f t="shared" si="25"/>
        <v/>
      </c>
      <c r="F75" s="43" t="str">
        <f t="shared" si="26"/>
        <v/>
      </c>
      <c r="G75" s="43" t="str">
        <f t="shared" si="27"/>
        <v/>
      </c>
      <c r="H75" s="43" t="str">
        <f t="shared" si="28"/>
        <v/>
      </c>
      <c r="I75" s="43" t="str">
        <f t="shared" si="29"/>
        <v/>
      </c>
      <c r="J75" s="43" t="str">
        <f t="shared" si="30"/>
        <v/>
      </c>
      <c r="K75" s="33"/>
    </row>
    <row r="76" spans="1:12" x14ac:dyDescent="0.3">
      <c r="A76" s="10"/>
      <c r="B76" s="37" t="str">
        <f t="shared" si="24"/>
        <v/>
      </c>
      <c r="C76" s="10"/>
      <c r="D76" s="41"/>
      <c r="E76" s="43" t="str">
        <f t="shared" si="25"/>
        <v/>
      </c>
      <c r="F76" s="43" t="str">
        <f t="shared" si="26"/>
        <v/>
      </c>
      <c r="G76" s="43" t="str">
        <f t="shared" si="27"/>
        <v/>
      </c>
      <c r="H76" s="43" t="str">
        <f>IF($A76="full day holiday",7.5/24,IF($A76="1/2 day holiday",3.75/24,""))</f>
        <v/>
      </c>
      <c r="I76" s="43" t="str">
        <f t="shared" si="29"/>
        <v/>
      </c>
      <c r="J76" s="43" t="str">
        <f t="shared" si="30"/>
        <v/>
      </c>
      <c r="K76" s="33"/>
    </row>
    <row r="77" spans="1:12" x14ac:dyDescent="0.3">
      <c r="A77" s="10"/>
      <c r="B77" s="37" t="str">
        <f t="shared" si="24"/>
        <v/>
      </c>
      <c r="C77" s="10"/>
      <c r="D77" s="41"/>
      <c r="E77" s="43" t="str">
        <f t="shared" si="25"/>
        <v/>
      </c>
      <c r="F77" s="43" t="str">
        <f t="shared" si="26"/>
        <v/>
      </c>
      <c r="G77" s="43" t="str">
        <f t="shared" si="27"/>
        <v/>
      </c>
      <c r="H77" s="43" t="str">
        <f t="shared" si="28"/>
        <v/>
      </c>
      <c r="I77" s="43" t="str">
        <f t="shared" si="29"/>
        <v/>
      </c>
      <c r="J77" s="43" t="str">
        <f>IF($A77="full day sick",7.5/24,IF($A77="1/2 day sick",3.75/24,""))</f>
        <v/>
      </c>
      <c r="K77" s="33"/>
    </row>
    <row r="78" spans="1:12" x14ac:dyDescent="0.3">
      <c r="A78" s="10"/>
      <c r="B78" s="37" t="str">
        <f t="shared" si="24"/>
        <v/>
      </c>
      <c r="C78" s="10"/>
      <c r="D78" s="41"/>
      <c r="E78" s="43" t="str">
        <f t="shared" si="25"/>
        <v/>
      </c>
      <c r="F78" s="43" t="str">
        <f t="shared" si="26"/>
        <v/>
      </c>
      <c r="G78" s="43" t="str">
        <f t="shared" si="27"/>
        <v/>
      </c>
      <c r="H78" s="43" t="str">
        <f t="shared" si="28"/>
        <v/>
      </c>
      <c r="I78" s="43" t="str">
        <f t="shared" si="29"/>
        <v/>
      </c>
      <c r="J78" s="43" t="str">
        <f t="shared" si="30"/>
        <v/>
      </c>
      <c r="K78" s="33"/>
    </row>
    <row r="79" spans="1:12" x14ac:dyDescent="0.3">
      <c r="A79" s="10"/>
      <c r="B79" s="37" t="str">
        <f t="shared" si="24"/>
        <v/>
      </c>
      <c r="C79" s="10"/>
      <c r="D79" s="41"/>
      <c r="E79" s="43" t="str">
        <f t="shared" si="25"/>
        <v/>
      </c>
      <c r="F79" s="43" t="str">
        <f t="shared" si="26"/>
        <v/>
      </c>
      <c r="G79" s="43" t="str">
        <f t="shared" si="27"/>
        <v/>
      </c>
      <c r="H79" s="43" t="str">
        <f t="shared" si="28"/>
        <v/>
      </c>
      <c r="I79" s="43" t="str">
        <f t="shared" si="29"/>
        <v/>
      </c>
      <c r="J79" s="43" t="str">
        <f t="shared" si="30"/>
        <v/>
      </c>
      <c r="K79" s="33"/>
    </row>
    <row r="80" spans="1:12" x14ac:dyDescent="0.3">
      <c r="A80" s="10"/>
      <c r="B80" s="37" t="str">
        <f t="shared" si="24"/>
        <v/>
      </c>
      <c r="C80" s="10"/>
      <c r="D80" s="41"/>
      <c r="E80" s="43" t="str">
        <f t="shared" si="25"/>
        <v/>
      </c>
      <c r="F80" s="43" t="str">
        <f t="shared" si="26"/>
        <v/>
      </c>
      <c r="G80" s="43" t="str">
        <f t="shared" si="27"/>
        <v/>
      </c>
      <c r="H80" s="43" t="str">
        <f t="shared" si="28"/>
        <v/>
      </c>
      <c r="I80" s="43" t="str">
        <f t="shared" si="29"/>
        <v/>
      </c>
      <c r="J80" s="43" t="str">
        <f t="shared" si="30"/>
        <v/>
      </c>
      <c r="K80" s="33"/>
    </row>
    <row r="81" spans="1:12" x14ac:dyDescent="0.3">
      <c r="A81" s="10"/>
      <c r="B81" s="37" t="str">
        <f t="shared" si="24"/>
        <v/>
      </c>
      <c r="C81" s="10"/>
      <c r="D81" s="41"/>
      <c r="E81" s="43" t="str">
        <f t="shared" si="25"/>
        <v/>
      </c>
      <c r="F81" s="43" t="str">
        <f t="shared" si="26"/>
        <v/>
      </c>
      <c r="G81" s="43" t="str">
        <f t="shared" si="27"/>
        <v/>
      </c>
      <c r="H81" s="43" t="str">
        <f t="shared" si="28"/>
        <v/>
      </c>
      <c r="I81" s="43" t="str">
        <f t="shared" si="29"/>
        <v/>
      </c>
      <c r="J81" s="43" t="str">
        <f t="shared" si="30"/>
        <v/>
      </c>
      <c r="K81" s="33"/>
    </row>
    <row r="82" spans="1:12" x14ac:dyDescent="0.3">
      <c r="A82" s="10"/>
      <c r="B82" s="37" t="str">
        <f t="shared" si="24"/>
        <v/>
      </c>
      <c r="C82" s="10"/>
      <c r="D82" s="41"/>
      <c r="E82" s="43" t="str">
        <f t="shared" si="25"/>
        <v/>
      </c>
      <c r="F82" s="43" t="str">
        <f t="shared" si="26"/>
        <v/>
      </c>
      <c r="G82" s="43" t="str">
        <f t="shared" si="27"/>
        <v/>
      </c>
      <c r="H82" s="43" t="str">
        <f t="shared" si="28"/>
        <v/>
      </c>
      <c r="I82" s="43" t="str">
        <f t="shared" si="29"/>
        <v/>
      </c>
      <c r="J82" s="43" t="str">
        <f t="shared" si="30"/>
        <v/>
      </c>
      <c r="K82" s="33"/>
    </row>
    <row r="83" spans="1:12" x14ac:dyDescent="0.3">
      <c r="A83" s="10"/>
      <c r="B83" s="37" t="str">
        <f t="shared" si="24"/>
        <v/>
      </c>
      <c r="C83" s="10"/>
      <c r="D83" s="41"/>
      <c r="E83" s="43" t="str">
        <f t="shared" si="25"/>
        <v/>
      </c>
      <c r="F83" s="43" t="str">
        <f t="shared" si="26"/>
        <v/>
      </c>
      <c r="G83" s="43" t="str">
        <f t="shared" si="27"/>
        <v/>
      </c>
      <c r="H83" s="43" t="str">
        <f t="shared" si="28"/>
        <v/>
      </c>
      <c r="I83" s="43" t="str">
        <f t="shared" si="29"/>
        <v/>
      </c>
      <c r="J83" s="43" t="str">
        <f t="shared" si="30"/>
        <v/>
      </c>
      <c r="K83" s="33"/>
    </row>
    <row r="84" spans="1:12" x14ac:dyDescent="0.3">
      <c r="A84" s="10"/>
      <c r="B84" s="37" t="str">
        <f t="shared" si="24"/>
        <v/>
      </c>
      <c r="C84" s="10"/>
      <c r="D84" s="41"/>
      <c r="E84" s="43" t="str">
        <f t="shared" si="25"/>
        <v/>
      </c>
      <c r="F84" s="43" t="str">
        <f t="shared" si="26"/>
        <v/>
      </c>
      <c r="G84" s="43" t="str">
        <f t="shared" si="27"/>
        <v/>
      </c>
      <c r="H84" s="43" t="str">
        <f t="shared" si="28"/>
        <v/>
      </c>
      <c r="I84" s="43" t="str">
        <f t="shared" si="29"/>
        <v/>
      </c>
      <c r="J84" s="43" t="str">
        <f t="shared" si="30"/>
        <v/>
      </c>
      <c r="K84" s="33"/>
    </row>
    <row r="85" spans="1:12" x14ac:dyDescent="0.3">
      <c r="A85" s="10"/>
      <c r="B85" s="37" t="str">
        <f t="shared" si="24"/>
        <v/>
      </c>
      <c r="C85" s="10"/>
      <c r="D85" s="41"/>
      <c r="E85" s="43" t="str">
        <f t="shared" si="25"/>
        <v/>
      </c>
      <c r="F85" s="43" t="str">
        <f t="shared" si="26"/>
        <v/>
      </c>
      <c r="G85" s="43" t="str">
        <f t="shared" si="27"/>
        <v/>
      </c>
      <c r="H85" s="43" t="str">
        <f t="shared" si="28"/>
        <v/>
      </c>
      <c r="I85" s="43" t="str">
        <f t="shared" si="29"/>
        <v/>
      </c>
      <c r="J85" s="43" t="str">
        <f t="shared" si="30"/>
        <v/>
      </c>
      <c r="K85" s="33"/>
    </row>
    <row r="86" spans="1:12" x14ac:dyDescent="0.3">
      <c r="A86" s="13" t="s">
        <v>12</v>
      </c>
      <c r="B86" s="13"/>
      <c r="C86" s="13"/>
      <c r="D86" s="44"/>
      <c r="E86" s="45">
        <f ca="1">SUM(E67:E85)</f>
        <v>0.125</v>
      </c>
      <c r="F86" s="45">
        <f ca="1">SUM(F67:F85)</f>
        <v>0.1875</v>
      </c>
      <c r="G86" s="45">
        <f ca="1">SUM(G67:G85)</f>
        <v>0</v>
      </c>
      <c r="H86" s="45">
        <f>SUM(H67:H85)</f>
        <v>0</v>
      </c>
      <c r="I86" s="45">
        <f t="shared" ref="I86:J86" si="31">SUM(I67:I85)</f>
        <v>0</v>
      </c>
      <c r="J86" s="45">
        <f t="shared" si="31"/>
        <v>0</v>
      </c>
      <c r="K86" s="34"/>
      <c r="L86" s="14"/>
    </row>
    <row r="87" spans="1:12" x14ac:dyDescent="0.3">
      <c r="A87" s="15"/>
      <c r="B87" s="15"/>
      <c r="C87" s="15"/>
      <c r="D87" s="40" t="s">
        <v>14</v>
      </c>
      <c r="E87" s="46"/>
      <c r="F87" s="46"/>
      <c r="G87" s="46"/>
      <c r="H87" s="46"/>
      <c r="I87" s="46"/>
      <c r="J87" s="46"/>
      <c r="K87" s="32"/>
      <c r="L87" s="4"/>
    </row>
    <row r="88" spans="1:12" x14ac:dyDescent="0.3">
      <c r="A88" s="16" t="s">
        <v>9</v>
      </c>
      <c r="B88" s="8"/>
      <c r="C88" s="9"/>
      <c r="D88" s="41">
        <v>0.375</v>
      </c>
      <c r="E88" s="47"/>
      <c r="F88" s="47"/>
      <c r="G88" s="47"/>
      <c r="H88" s="47"/>
      <c r="I88" s="47"/>
      <c r="J88" s="47"/>
      <c r="K88" s="33"/>
      <c r="L88" s="4"/>
    </row>
    <row r="89" spans="1:12" x14ac:dyDescent="0.3">
      <c r="A89" s="10" t="s">
        <v>36</v>
      </c>
      <c r="B89" s="37" t="str">
        <f t="shared" ref="B89:B106" ca="1" si="32">IF(A89="","",INDEX(Number_list,MATCH(A89,Project_list,0)))</f>
        <v>admin3</v>
      </c>
      <c r="C89" s="10"/>
      <c r="D89" s="41">
        <v>0.41666666666666669</v>
      </c>
      <c r="E89" s="43" t="str">
        <f t="shared" ref="E89:E106" ca="1" si="33">IF($A89="","",IF(LEFT(INDEX(Number_list,MATCH($A89,Project_list,0)),2)="20",$D89-$D88,""))</f>
        <v/>
      </c>
      <c r="F89" s="43" t="str">
        <f t="shared" ref="F89:F106" ca="1" si="34">IF($A89="","",IF(LEFT(INDEX(Number_list,MATCH($A89,Project_list,0)),2)="NC",$D89-$D88,""))</f>
        <v/>
      </c>
      <c r="G89" s="43">
        <f t="shared" ref="G89:G106" ca="1" si="35">IF($A89="","",IF(LEFT(INDEX(Number_list,MATCH($A89,Project_list,0)),5)="admin",$D89-$D88,""))</f>
        <v>4.1666666666666685E-2</v>
      </c>
      <c r="H89" s="43" t="str">
        <f>IF($A89="full day holiday",7.5/24,IF($A89="1/2 day holiday",3.75/24,""))</f>
        <v/>
      </c>
      <c r="I89" s="43" t="str">
        <f>IF($A89="bank holiday",7.5/24,"")</f>
        <v/>
      </c>
      <c r="J89" s="43" t="str">
        <f>IF($A89="full day sick",7.5/24,IF($A89="1/2 day sick",3.75/24,""))</f>
        <v/>
      </c>
      <c r="K89" s="33"/>
      <c r="L89" s="4"/>
    </row>
    <row r="90" spans="1:12" x14ac:dyDescent="0.3">
      <c r="A90" s="10" t="s">
        <v>33</v>
      </c>
      <c r="B90" s="37" t="str">
        <f t="shared" ca="1" si="32"/>
        <v>2021/002</v>
      </c>
      <c r="C90" s="10"/>
      <c r="D90" s="41">
        <v>0.72916666666666663</v>
      </c>
      <c r="E90" s="43">
        <f t="shared" ca="1" si="33"/>
        <v>0.31249999999999994</v>
      </c>
      <c r="F90" s="43" t="str">
        <f t="shared" ca="1" si="34"/>
        <v/>
      </c>
      <c r="G90" s="43" t="str">
        <f t="shared" ca="1" si="35"/>
        <v/>
      </c>
      <c r="H90" s="43" t="str">
        <f t="shared" ref="H90:H106" si="36">IF($A90="full day holiday",7.5/24,IF($A90="1/2 day holiday",3.75/24,""))</f>
        <v/>
      </c>
      <c r="I90" s="43" t="str">
        <f t="shared" ref="I90:I106" si="37">IF($A90="bank holiday",7.5/24,"")</f>
        <v/>
      </c>
      <c r="J90" s="43" t="str">
        <f>IF($A90="full day sick",7.5/24,IF($A90="1/2 day sick",3.75/24,""))</f>
        <v/>
      </c>
      <c r="K90" s="33"/>
      <c r="L90" s="4"/>
    </row>
    <row r="91" spans="1:12" x14ac:dyDescent="0.3">
      <c r="A91" s="10"/>
      <c r="B91" s="37" t="str">
        <f t="shared" si="32"/>
        <v/>
      </c>
      <c r="C91" s="10"/>
      <c r="D91" s="41"/>
      <c r="E91" s="43" t="str">
        <f t="shared" si="33"/>
        <v/>
      </c>
      <c r="F91" s="43" t="str">
        <f t="shared" si="34"/>
        <v/>
      </c>
      <c r="G91" s="43" t="str">
        <f t="shared" si="35"/>
        <v/>
      </c>
      <c r="H91" s="43" t="str">
        <f t="shared" si="36"/>
        <v/>
      </c>
      <c r="I91" s="43" t="str">
        <f t="shared" si="37"/>
        <v/>
      </c>
      <c r="J91" s="43" t="str">
        <f t="shared" ref="J91:J106" si="38">IF($A91="full day sick",7.5/24,IF($A91="1/2 day sick",3.75/24,""))</f>
        <v/>
      </c>
      <c r="K91" s="33"/>
      <c r="L91" s="4"/>
    </row>
    <row r="92" spans="1:12" x14ac:dyDescent="0.3">
      <c r="A92" s="10"/>
      <c r="B92" s="37" t="str">
        <f t="shared" si="32"/>
        <v/>
      </c>
      <c r="C92" s="10"/>
      <c r="D92" s="41"/>
      <c r="E92" s="43" t="str">
        <f t="shared" si="33"/>
        <v/>
      </c>
      <c r="F92" s="43" t="str">
        <f t="shared" si="34"/>
        <v/>
      </c>
      <c r="G92" s="43" t="str">
        <f t="shared" si="35"/>
        <v/>
      </c>
      <c r="H92" s="43" t="str">
        <f t="shared" si="36"/>
        <v/>
      </c>
      <c r="I92" s="43" t="str">
        <f t="shared" si="37"/>
        <v/>
      </c>
      <c r="J92" s="43" t="str">
        <f t="shared" si="38"/>
        <v/>
      </c>
      <c r="K92" s="33"/>
      <c r="L92" s="4"/>
    </row>
    <row r="93" spans="1:12" x14ac:dyDescent="0.3">
      <c r="A93" s="10"/>
      <c r="B93" s="37" t="str">
        <f t="shared" si="32"/>
        <v/>
      </c>
      <c r="C93" s="10"/>
      <c r="D93" s="41"/>
      <c r="E93" s="43" t="str">
        <f t="shared" si="33"/>
        <v/>
      </c>
      <c r="F93" s="43" t="str">
        <f t="shared" si="34"/>
        <v/>
      </c>
      <c r="G93" s="43" t="str">
        <f t="shared" si="35"/>
        <v/>
      </c>
      <c r="H93" s="43" t="str">
        <f t="shared" si="36"/>
        <v/>
      </c>
      <c r="I93" s="43" t="str">
        <f t="shared" si="37"/>
        <v/>
      </c>
      <c r="J93" s="43" t="str">
        <f t="shared" si="38"/>
        <v/>
      </c>
      <c r="K93" s="33"/>
      <c r="L93" s="4"/>
    </row>
    <row r="94" spans="1:12" x14ac:dyDescent="0.3">
      <c r="A94" s="10"/>
      <c r="B94" s="37" t="str">
        <f t="shared" si="32"/>
        <v/>
      </c>
      <c r="C94" s="10"/>
      <c r="D94" s="41"/>
      <c r="E94" s="43" t="str">
        <f t="shared" si="33"/>
        <v/>
      </c>
      <c r="F94" s="43" t="str">
        <f t="shared" si="34"/>
        <v/>
      </c>
      <c r="G94" s="43" t="str">
        <f t="shared" si="35"/>
        <v/>
      </c>
      <c r="H94" s="43" t="str">
        <f t="shared" si="36"/>
        <v/>
      </c>
      <c r="I94" s="43" t="str">
        <f t="shared" si="37"/>
        <v/>
      </c>
      <c r="J94" s="43" t="str">
        <f t="shared" si="38"/>
        <v/>
      </c>
      <c r="K94" s="33"/>
      <c r="L94" s="4"/>
    </row>
    <row r="95" spans="1:12" x14ac:dyDescent="0.3">
      <c r="A95" s="10"/>
      <c r="B95" s="37" t="str">
        <f t="shared" si="32"/>
        <v/>
      </c>
      <c r="C95" s="10"/>
      <c r="D95" s="41"/>
      <c r="E95" s="43" t="str">
        <f t="shared" si="33"/>
        <v/>
      </c>
      <c r="F95" s="43" t="str">
        <f t="shared" si="34"/>
        <v/>
      </c>
      <c r="G95" s="43" t="str">
        <f t="shared" si="35"/>
        <v/>
      </c>
      <c r="H95" s="43" t="str">
        <f t="shared" si="36"/>
        <v/>
      </c>
      <c r="I95" s="43" t="str">
        <f t="shared" si="37"/>
        <v/>
      </c>
      <c r="J95" s="43" t="str">
        <f t="shared" si="38"/>
        <v/>
      </c>
      <c r="K95" s="33"/>
      <c r="L95" s="4"/>
    </row>
    <row r="96" spans="1:12" x14ac:dyDescent="0.3">
      <c r="A96" s="10"/>
      <c r="B96" s="37" t="str">
        <f t="shared" si="32"/>
        <v/>
      </c>
      <c r="C96" s="10"/>
      <c r="D96" s="41"/>
      <c r="E96" s="43" t="str">
        <f t="shared" si="33"/>
        <v/>
      </c>
      <c r="F96" s="43" t="str">
        <f t="shared" si="34"/>
        <v/>
      </c>
      <c r="G96" s="43" t="str">
        <f t="shared" si="35"/>
        <v/>
      </c>
      <c r="H96" s="43" t="str">
        <f t="shared" si="36"/>
        <v/>
      </c>
      <c r="I96" s="43" t="str">
        <f t="shared" si="37"/>
        <v/>
      </c>
      <c r="J96" s="43" t="str">
        <f t="shared" si="38"/>
        <v/>
      </c>
      <c r="K96" s="33"/>
      <c r="L96" s="4"/>
    </row>
    <row r="97" spans="1:12" x14ac:dyDescent="0.3">
      <c r="A97" s="10"/>
      <c r="B97" s="37" t="str">
        <f t="shared" si="32"/>
        <v/>
      </c>
      <c r="C97" s="10"/>
      <c r="D97" s="41"/>
      <c r="E97" s="43" t="str">
        <f t="shared" si="33"/>
        <v/>
      </c>
      <c r="F97" s="43" t="str">
        <f t="shared" si="34"/>
        <v/>
      </c>
      <c r="G97" s="43" t="str">
        <f t="shared" si="35"/>
        <v/>
      </c>
      <c r="H97" s="43" t="str">
        <f>IF($A97="full day holiday",7.5/24,IF($A97="1/2 day holiday",3.75/24,""))</f>
        <v/>
      </c>
      <c r="I97" s="43" t="str">
        <f t="shared" si="37"/>
        <v/>
      </c>
      <c r="J97" s="43" t="str">
        <f t="shared" si="38"/>
        <v/>
      </c>
      <c r="K97" s="33"/>
      <c r="L97" s="4"/>
    </row>
    <row r="98" spans="1:12" x14ac:dyDescent="0.3">
      <c r="A98" s="10"/>
      <c r="B98" s="37" t="str">
        <f t="shared" si="32"/>
        <v/>
      </c>
      <c r="C98" s="10"/>
      <c r="D98" s="41"/>
      <c r="E98" s="43" t="str">
        <f t="shared" si="33"/>
        <v/>
      </c>
      <c r="F98" s="43" t="str">
        <f t="shared" si="34"/>
        <v/>
      </c>
      <c r="G98" s="43" t="str">
        <f t="shared" si="35"/>
        <v/>
      </c>
      <c r="H98" s="43" t="str">
        <f t="shared" si="36"/>
        <v/>
      </c>
      <c r="I98" s="43" t="str">
        <f t="shared" si="37"/>
        <v/>
      </c>
      <c r="J98" s="43" t="str">
        <f>IF($A98="full day sick",7.5/24,IF($A98="1/2 day sick",3.75/24,""))</f>
        <v/>
      </c>
      <c r="K98" s="33"/>
      <c r="L98" s="4"/>
    </row>
    <row r="99" spans="1:12" x14ac:dyDescent="0.3">
      <c r="A99" s="10"/>
      <c r="B99" s="37" t="str">
        <f t="shared" si="32"/>
        <v/>
      </c>
      <c r="C99" s="10"/>
      <c r="D99" s="41"/>
      <c r="E99" s="43" t="str">
        <f t="shared" si="33"/>
        <v/>
      </c>
      <c r="F99" s="43" t="str">
        <f t="shared" si="34"/>
        <v/>
      </c>
      <c r="G99" s="43" t="str">
        <f t="shared" si="35"/>
        <v/>
      </c>
      <c r="H99" s="43" t="str">
        <f t="shared" si="36"/>
        <v/>
      </c>
      <c r="I99" s="43" t="str">
        <f t="shared" si="37"/>
        <v/>
      </c>
      <c r="J99" s="43" t="str">
        <f t="shared" si="38"/>
        <v/>
      </c>
      <c r="K99" s="33"/>
      <c r="L99" s="4"/>
    </row>
    <row r="100" spans="1:12" x14ac:dyDescent="0.3">
      <c r="A100" s="10"/>
      <c r="B100" s="37" t="str">
        <f t="shared" si="32"/>
        <v/>
      </c>
      <c r="C100" s="10"/>
      <c r="D100" s="41"/>
      <c r="E100" s="43" t="str">
        <f t="shared" si="33"/>
        <v/>
      </c>
      <c r="F100" s="43" t="str">
        <f t="shared" si="34"/>
        <v/>
      </c>
      <c r="G100" s="43" t="str">
        <f t="shared" si="35"/>
        <v/>
      </c>
      <c r="H100" s="43" t="str">
        <f t="shared" si="36"/>
        <v/>
      </c>
      <c r="I100" s="43" t="str">
        <f t="shared" si="37"/>
        <v/>
      </c>
      <c r="J100" s="43" t="str">
        <f t="shared" si="38"/>
        <v/>
      </c>
      <c r="K100" s="33"/>
      <c r="L100" s="4"/>
    </row>
    <row r="101" spans="1:12" x14ac:dyDescent="0.3">
      <c r="A101" s="10"/>
      <c r="B101" s="37" t="str">
        <f t="shared" si="32"/>
        <v/>
      </c>
      <c r="C101" s="10"/>
      <c r="D101" s="41"/>
      <c r="E101" s="43" t="str">
        <f t="shared" si="33"/>
        <v/>
      </c>
      <c r="F101" s="43" t="str">
        <f t="shared" si="34"/>
        <v/>
      </c>
      <c r="G101" s="43" t="str">
        <f t="shared" si="35"/>
        <v/>
      </c>
      <c r="H101" s="43" t="str">
        <f t="shared" si="36"/>
        <v/>
      </c>
      <c r="I101" s="43" t="str">
        <f t="shared" si="37"/>
        <v/>
      </c>
      <c r="J101" s="43" t="str">
        <f t="shared" si="38"/>
        <v/>
      </c>
      <c r="K101" s="33"/>
      <c r="L101" s="4"/>
    </row>
    <row r="102" spans="1:12" x14ac:dyDescent="0.3">
      <c r="A102" s="10"/>
      <c r="B102" s="37" t="str">
        <f t="shared" si="32"/>
        <v/>
      </c>
      <c r="C102" s="10"/>
      <c r="D102" s="41"/>
      <c r="E102" s="43" t="str">
        <f t="shared" si="33"/>
        <v/>
      </c>
      <c r="F102" s="43" t="str">
        <f t="shared" si="34"/>
        <v/>
      </c>
      <c r="G102" s="43" t="str">
        <f t="shared" si="35"/>
        <v/>
      </c>
      <c r="H102" s="43" t="str">
        <f t="shared" si="36"/>
        <v/>
      </c>
      <c r="I102" s="43" t="str">
        <f t="shared" si="37"/>
        <v/>
      </c>
      <c r="J102" s="43" t="str">
        <f t="shared" si="38"/>
        <v/>
      </c>
      <c r="K102" s="33"/>
      <c r="L102" s="4"/>
    </row>
    <row r="103" spans="1:12" x14ac:dyDescent="0.3">
      <c r="A103" s="10"/>
      <c r="B103" s="37" t="str">
        <f t="shared" si="32"/>
        <v/>
      </c>
      <c r="C103" s="10"/>
      <c r="D103" s="41"/>
      <c r="E103" s="43" t="str">
        <f t="shared" si="33"/>
        <v/>
      </c>
      <c r="F103" s="43" t="str">
        <f t="shared" si="34"/>
        <v/>
      </c>
      <c r="G103" s="43" t="str">
        <f t="shared" si="35"/>
        <v/>
      </c>
      <c r="H103" s="43" t="str">
        <f t="shared" si="36"/>
        <v/>
      </c>
      <c r="I103" s="43" t="str">
        <f t="shared" si="37"/>
        <v/>
      </c>
      <c r="J103" s="43" t="str">
        <f t="shared" si="38"/>
        <v/>
      </c>
      <c r="K103" s="33"/>
      <c r="L103" s="4"/>
    </row>
    <row r="104" spans="1:12" x14ac:dyDescent="0.3">
      <c r="A104" s="10"/>
      <c r="B104" s="37" t="str">
        <f t="shared" si="32"/>
        <v/>
      </c>
      <c r="C104" s="10"/>
      <c r="D104" s="41"/>
      <c r="E104" s="43" t="str">
        <f t="shared" si="33"/>
        <v/>
      </c>
      <c r="F104" s="43" t="str">
        <f t="shared" si="34"/>
        <v/>
      </c>
      <c r="G104" s="43" t="str">
        <f t="shared" si="35"/>
        <v/>
      </c>
      <c r="H104" s="43" t="str">
        <f t="shared" si="36"/>
        <v/>
      </c>
      <c r="I104" s="43" t="str">
        <f t="shared" si="37"/>
        <v/>
      </c>
      <c r="J104" s="43" t="str">
        <f t="shared" si="38"/>
        <v/>
      </c>
      <c r="K104" s="33"/>
      <c r="L104" s="4"/>
    </row>
    <row r="105" spans="1:12" x14ac:dyDescent="0.3">
      <c r="A105" s="10"/>
      <c r="B105" s="37" t="str">
        <f t="shared" si="32"/>
        <v/>
      </c>
      <c r="C105" s="10"/>
      <c r="D105" s="41"/>
      <c r="E105" s="43" t="str">
        <f t="shared" si="33"/>
        <v/>
      </c>
      <c r="F105" s="43" t="str">
        <f t="shared" si="34"/>
        <v/>
      </c>
      <c r="G105" s="43" t="str">
        <f t="shared" si="35"/>
        <v/>
      </c>
      <c r="H105" s="43" t="str">
        <f t="shared" si="36"/>
        <v/>
      </c>
      <c r="I105" s="43" t="str">
        <f t="shared" si="37"/>
        <v/>
      </c>
      <c r="J105" s="43" t="str">
        <f t="shared" si="38"/>
        <v/>
      </c>
      <c r="K105" s="33"/>
      <c r="L105" s="4"/>
    </row>
    <row r="106" spans="1:12" x14ac:dyDescent="0.3">
      <c r="A106" s="10"/>
      <c r="B106" s="37" t="str">
        <f t="shared" si="32"/>
        <v/>
      </c>
      <c r="C106" s="10"/>
      <c r="D106" s="41"/>
      <c r="E106" s="43" t="str">
        <f t="shared" si="33"/>
        <v/>
      </c>
      <c r="F106" s="43" t="str">
        <f t="shared" si="34"/>
        <v/>
      </c>
      <c r="G106" s="43" t="str">
        <f t="shared" si="35"/>
        <v/>
      </c>
      <c r="H106" s="43" t="str">
        <f t="shared" si="36"/>
        <v/>
      </c>
      <c r="I106" s="43" t="str">
        <f t="shared" si="37"/>
        <v/>
      </c>
      <c r="J106" s="43" t="str">
        <f t="shared" si="38"/>
        <v/>
      </c>
      <c r="K106" s="33"/>
    </row>
    <row r="107" spans="1:12" x14ac:dyDescent="0.3">
      <c r="A107" s="13" t="s">
        <v>12</v>
      </c>
      <c r="B107" s="13"/>
      <c r="C107" s="13"/>
      <c r="D107" s="44"/>
      <c r="E107" s="45">
        <f ca="1">SUM(E88:E106)</f>
        <v>0.31249999999999994</v>
      </c>
      <c r="F107" s="45">
        <f ca="1">SUM(F88:F106)</f>
        <v>0</v>
      </c>
      <c r="G107" s="45">
        <f ca="1">SUM(G88:G106)</f>
        <v>4.1666666666666685E-2</v>
      </c>
      <c r="H107" s="45">
        <f>SUM(H88:H106)</f>
        <v>0</v>
      </c>
      <c r="I107" s="45">
        <f t="shared" ref="I107:J107" si="39">SUM(I88:I106)</f>
        <v>0</v>
      </c>
      <c r="J107" s="45">
        <f t="shared" si="39"/>
        <v>0</v>
      </c>
      <c r="K107" s="33"/>
      <c r="L107" s="14"/>
    </row>
    <row r="108" spans="1:12" x14ac:dyDescent="0.3">
      <c r="A108" s="15"/>
      <c r="B108" s="15"/>
      <c r="C108" s="15"/>
      <c r="D108" s="40" t="s">
        <v>22</v>
      </c>
      <c r="E108" s="46"/>
      <c r="F108" s="46"/>
      <c r="G108" s="46"/>
      <c r="H108" s="46"/>
      <c r="I108" s="46"/>
      <c r="J108" s="46"/>
      <c r="K108" s="32"/>
      <c r="L108" s="4"/>
    </row>
    <row r="109" spans="1:12" x14ac:dyDescent="0.3">
      <c r="A109" s="16" t="s">
        <v>9</v>
      </c>
      <c r="B109" s="8"/>
      <c r="C109" s="9"/>
      <c r="D109" s="41">
        <v>0.375</v>
      </c>
      <c r="E109" s="47"/>
      <c r="F109" s="47"/>
      <c r="G109" s="47"/>
      <c r="H109" s="47"/>
      <c r="I109" s="47"/>
      <c r="J109" s="47"/>
      <c r="K109" s="33"/>
      <c r="L109" s="4"/>
    </row>
    <row r="110" spans="1:12" x14ac:dyDescent="0.3">
      <c r="A110" s="10"/>
      <c r="B110" s="37" t="str">
        <f t="shared" ref="B110:B127" si="40">IF(A110="","",INDEX(Number_list,MATCH(A110,Project_list,0)))</f>
        <v/>
      </c>
      <c r="C110" s="10"/>
      <c r="D110" s="41"/>
      <c r="E110" s="43" t="str">
        <f t="shared" ref="E110:E127" si="41">IF($A110="","",IF(LEFT(INDEX(Number_list,MATCH($A110,Project_list,0)),2)="20",$D110-$D109,""))</f>
        <v/>
      </c>
      <c r="F110" s="43" t="str">
        <f t="shared" ref="F110:F127" si="42">IF($A110="","",IF(LEFT(INDEX(Number_list,MATCH($A110,Project_list,0)),2)="NC",$D110-$D109,""))</f>
        <v/>
      </c>
      <c r="G110" s="43" t="str">
        <f t="shared" ref="G110:G127" si="43">IF($A110="","",IF(LEFT(INDEX(Number_list,MATCH($A110,Project_list,0)),5)="admin",$D110-$D109,""))</f>
        <v/>
      </c>
      <c r="H110" s="43" t="str">
        <f>IF($A110="full day holiday",7.5/24,IF($A110="1/2 day holiday",3.75/24,""))</f>
        <v/>
      </c>
      <c r="I110" s="43" t="str">
        <f>IF($A110="bank holiday",7.5/24,"")</f>
        <v/>
      </c>
      <c r="J110" s="43" t="str">
        <f>IF($A110="full day sick",7.5/24,IF($A110="1/2 day sick",3.75/24,""))</f>
        <v/>
      </c>
      <c r="K110" s="33"/>
      <c r="L110" s="4"/>
    </row>
    <row r="111" spans="1:12" x14ac:dyDescent="0.3">
      <c r="A111" s="10"/>
      <c r="B111" s="37" t="str">
        <f t="shared" si="40"/>
        <v/>
      </c>
      <c r="C111" s="10"/>
      <c r="D111" s="41"/>
      <c r="E111" s="43" t="str">
        <f t="shared" si="41"/>
        <v/>
      </c>
      <c r="F111" s="43" t="str">
        <f t="shared" si="42"/>
        <v/>
      </c>
      <c r="G111" s="43" t="str">
        <f t="shared" si="43"/>
        <v/>
      </c>
      <c r="H111" s="43" t="str">
        <f t="shared" ref="H111:H127" si="44">IF($A111="full day holiday",7.5/24,IF($A111="1/2 day holiday",3.75/24,""))</f>
        <v/>
      </c>
      <c r="I111" s="43" t="str">
        <f t="shared" ref="I111:I127" si="45">IF($A111="bank holiday",7.5/24,"")</f>
        <v/>
      </c>
      <c r="J111" s="43" t="str">
        <f>IF($A111="full day sick",7.5/24,IF($A111="1/2 day sick",3.75/24,""))</f>
        <v/>
      </c>
      <c r="K111" s="33"/>
      <c r="L111" s="4"/>
    </row>
    <row r="112" spans="1:12" x14ac:dyDescent="0.3">
      <c r="A112" s="10"/>
      <c r="B112" s="37" t="str">
        <f t="shared" si="40"/>
        <v/>
      </c>
      <c r="C112" s="10"/>
      <c r="D112" s="41"/>
      <c r="E112" s="43" t="str">
        <f t="shared" si="41"/>
        <v/>
      </c>
      <c r="F112" s="43" t="str">
        <f t="shared" si="42"/>
        <v/>
      </c>
      <c r="G112" s="43" t="str">
        <f t="shared" si="43"/>
        <v/>
      </c>
      <c r="H112" s="43" t="str">
        <f t="shared" si="44"/>
        <v/>
      </c>
      <c r="I112" s="43" t="str">
        <f t="shared" si="45"/>
        <v/>
      </c>
      <c r="J112" s="43" t="str">
        <f t="shared" ref="J112:J127" si="46">IF($A112="full day sick",7.5/24,IF($A112="1/2 day sick",3.75/24,""))</f>
        <v/>
      </c>
      <c r="K112" s="33"/>
      <c r="L112" s="4"/>
    </row>
    <row r="113" spans="1:12" x14ac:dyDescent="0.3">
      <c r="A113" s="10"/>
      <c r="B113" s="37" t="str">
        <f t="shared" si="40"/>
        <v/>
      </c>
      <c r="C113" s="10"/>
      <c r="D113" s="41"/>
      <c r="E113" s="43" t="str">
        <f t="shared" si="41"/>
        <v/>
      </c>
      <c r="F113" s="43" t="str">
        <f t="shared" si="42"/>
        <v/>
      </c>
      <c r="G113" s="43" t="str">
        <f t="shared" si="43"/>
        <v/>
      </c>
      <c r="H113" s="43" t="str">
        <f t="shared" si="44"/>
        <v/>
      </c>
      <c r="I113" s="43" t="str">
        <f t="shared" si="45"/>
        <v/>
      </c>
      <c r="J113" s="43" t="str">
        <f t="shared" si="46"/>
        <v/>
      </c>
      <c r="K113" s="33"/>
      <c r="L113" s="4"/>
    </row>
    <row r="114" spans="1:12" x14ac:dyDescent="0.3">
      <c r="A114" s="10"/>
      <c r="B114" s="37" t="str">
        <f t="shared" si="40"/>
        <v/>
      </c>
      <c r="C114" s="10"/>
      <c r="D114" s="41"/>
      <c r="E114" s="43" t="str">
        <f t="shared" si="41"/>
        <v/>
      </c>
      <c r="F114" s="43" t="str">
        <f t="shared" si="42"/>
        <v/>
      </c>
      <c r="G114" s="43" t="str">
        <f t="shared" si="43"/>
        <v/>
      </c>
      <c r="H114" s="43" t="str">
        <f t="shared" si="44"/>
        <v/>
      </c>
      <c r="I114" s="43" t="str">
        <f t="shared" si="45"/>
        <v/>
      </c>
      <c r="J114" s="43" t="str">
        <f t="shared" si="46"/>
        <v/>
      </c>
      <c r="K114" s="33"/>
      <c r="L114" s="4"/>
    </row>
    <row r="115" spans="1:12" x14ac:dyDescent="0.3">
      <c r="A115" s="10"/>
      <c r="B115" s="37" t="str">
        <f t="shared" si="40"/>
        <v/>
      </c>
      <c r="C115" s="10"/>
      <c r="D115" s="41"/>
      <c r="E115" s="43" t="str">
        <f t="shared" si="41"/>
        <v/>
      </c>
      <c r="F115" s="43" t="str">
        <f t="shared" si="42"/>
        <v/>
      </c>
      <c r="G115" s="43" t="str">
        <f t="shared" si="43"/>
        <v/>
      </c>
      <c r="H115" s="43" t="str">
        <f t="shared" si="44"/>
        <v/>
      </c>
      <c r="I115" s="43" t="str">
        <f t="shared" si="45"/>
        <v/>
      </c>
      <c r="J115" s="43" t="str">
        <f t="shared" si="46"/>
        <v/>
      </c>
      <c r="K115" s="33"/>
      <c r="L115" s="4"/>
    </row>
    <row r="116" spans="1:12" x14ac:dyDescent="0.3">
      <c r="A116" s="10"/>
      <c r="B116" s="37" t="str">
        <f t="shared" si="40"/>
        <v/>
      </c>
      <c r="C116" s="10"/>
      <c r="D116" s="41"/>
      <c r="E116" s="43" t="str">
        <f t="shared" si="41"/>
        <v/>
      </c>
      <c r="F116" s="43" t="str">
        <f t="shared" si="42"/>
        <v/>
      </c>
      <c r="G116" s="43" t="str">
        <f t="shared" si="43"/>
        <v/>
      </c>
      <c r="H116" s="43" t="str">
        <f t="shared" si="44"/>
        <v/>
      </c>
      <c r="I116" s="43" t="str">
        <f t="shared" si="45"/>
        <v/>
      </c>
      <c r="J116" s="43" t="str">
        <f t="shared" si="46"/>
        <v/>
      </c>
      <c r="K116" s="33"/>
      <c r="L116" s="4"/>
    </row>
    <row r="117" spans="1:12" x14ac:dyDescent="0.3">
      <c r="A117" s="10"/>
      <c r="B117" s="37" t="str">
        <f t="shared" si="40"/>
        <v/>
      </c>
      <c r="C117" s="10"/>
      <c r="D117" s="41"/>
      <c r="E117" s="43" t="str">
        <f t="shared" si="41"/>
        <v/>
      </c>
      <c r="F117" s="43" t="str">
        <f t="shared" si="42"/>
        <v/>
      </c>
      <c r="G117" s="43" t="str">
        <f t="shared" si="43"/>
        <v/>
      </c>
      <c r="H117" s="43" t="str">
        <f t="shared" si="44"/>
        <v/>
      </c>
      <c r="I117" s="43" t="str">
        <f t="shared" si="45"/>
        <v/>
      </c>
      <c r="J117" s="43" t="str">
        <f t="shared" si="46"/>
        <v/>
      </c>
      <c r="K117" s="33"/>
      <c r="L117" s="4"/>
    </row>
    <row r="118" spans="1:12" x14ac:dyDescent="0.3">
      <c r="A118" s="10"/>
      <c r="B118" s="37" t="str">
        <f t="shared" si="40"/>
        <v/>
      </c>
      <c r="C118" s="10"/>
      <c r="D118" s="41"/>
      <c r="E118" s="43" t="str">
        <f t="shared" si="41"/>
        <v/>
      </c>
      <c r="F118" s="43" t="str">
        <f t="shared" si="42"/>
        <v/>
      </c>
      <c r="G118" s="43" t="str">
        <f t="shared" si="43"/>
        <v/>
      </c>
      <c r="H118" s="43" t="str">
        <f>IF($A118="full day holiday",7.5/24,IF($A118="1/2 day holiday",3.75/24,""))</f>
        <v/>
      </c>
      <c r="I118" s="43" t="str">
        <f t="shared" si="45"/>
        <v/>
      </c>
      <c r="J118" s="43" t="str">
        <f t="shared" si="46"/>
        <v/>
      </c>
      <c r="K118" s="33"/>
      <c r="L118" s="4"/>
    </row>
    <row r="119" spans="1:12" x14ac:dyDescent="0.3">
      <c r="A119" s="10"/>
      <c r="B119" s="37" t="str">
        <f t="shared" si="40"/>
        <v/>
      </c>
      <c r="C119" s="10"/>
      <c r="D119" s="41"/>
      <c r="E119" s="43" t="str">
        <f t="shared" si="41"/>
        <v/>
      </c>
      <c r="F119" s="43" t="str">
        <f t="shared" si="42"/>
        <v/>
      </c>
      <c r="G119" s="43" t="str">
        <f t="shared" si="43"/>
        <v/>
      </c>
      <c r="H119" s="43" t="str">
        <f t="shared" si="44"/>
        <v/>
      </c>
      <c r="I119" s="43" t="str">
        <f t="shared" si="45"/>
        <v/>
      </c>
      <c r="J119" s="43" t="str">
        <f>IF($A119="full day sick",7.5/24,IF($A119="1/2 day sick",3.75/24,""))</f>
        <v/>
      </c>
      <c r="K119" s="33"/>
      <c r="L119" s="4"/>
    </row>
    <row r="120" spans="1:12" x14ac:dyDescent="0.3">
      <c r="A120" s="10"/>
      <c r="B120" s="37" t="str">
        <f t="shared" si="40"/>
        <v/>
      </c>
      <c r="C120" s="10"/>
      <c r="D120" s="41"/>
      <c r="E120" s="43" t="str">
        <f t="shared" si="41"/>
        <v/>
      </c>
      <c r="F120" s="43" t="str">
        <f t="shared" si="42"/>
        <v/>
      </c>
      <c r="G120" s="43" t="str">
        <f t="shared" si="43"/>
        <v/>
      </c>
      <c r="H120" s="43" t="str">
        <f t="shared" si="44"/>
        <v/>
      </c>
      <c r="I120" s="43" t="str">
        <f t="shared" si="45"/>
        <v/>
      </c>
      <c r="J120" s="43" t="str">
        <f t="shared" si="46"/>
        <v/>
      </c>
      <c r="K120" s="33"/>
      <c r="L120" s="4"/>
    </row>
    <row r="121" spans="1:12" x14ac:dyDescent="0.3">
      <c r="A121" s="10"/>
      <c r="B121" s="37" t="str">
        <f t="shared" si="40"/>
        <v/>
      </c>
      <c r="C121" s="10"/>
      <c r="D121" s="41"/>
      <c r="E121" s="43" t="str">
        <f t="shared" si="41"/>
        <v/>
      </c>
      <c r="F121" s="43" t="str">
        <f t="shared" si="42"/>
        <v/>
      </c>
      <c r="G121" s="43" t="str">
        <f t="shared" si="43"/>
        <v/>
      </c>
      <c r="H121" s="43" t="str">
        <f t="shared" si="44"/>
        <v/>
      </c>
      <c r="I121" s="43" t="str">
        <f t="shared" si="45"/>
        <v/>
      </c>
      <c r="J121" s="43" t="str">
        <f t="shared" si="46"/>
        <v/>
      </c>
      <c r="K121" s="33"/>
      <c r="L121" s="4"/>
    </row>
    <row r="122" spans="1:12" x14ac:dyDescent="0.3">
      <c r="A122" s="10"/>
      <c r="B122" s="37" t="str">
        <f t="shared" si="40"/>
        <v/>
      </c>
      <c r="C122" s="10"/>
      <c r="D122" s="41"/>
      <c r="E122" s="43" t="str">
        <f t="shared" si="41"/>
        <v/>
      </c>
      <c r="F122" s="43" t="str">
        <f t="shared" si="42"/>
        <v/>
      </c>
      <c r="G122" s="43" t="str">
        <f t="shared" si="43"/>
        <v/>
      </c>
      <c r="H122" s="43" t="str">
        <f t="shared" si="44"/>
        <v/>
      </c>
      <c r="I122" s="43" t="str">
        <f t="shared" si="45"/>
        <v/>
      </c>
      <c r="J122" s="43" t="str">
        <f t="shared" si="46"/>
        <v/>
      </c>
      <c r="K122" s="33"/>
      <c r="L122" s="4"/>
    </row>
    <row r="123" spans="1:12" x14ac:dyDescent="0.3">
      <c r="A123" s="10"/>
      <c r="B123" s="37" t="str">
        <f t="shared" si="40"/>
        <v/>
      </c>
      <c r="C123" s="10"/>
      <c r="D123" s="41"/>
      <c r="E123" s="43" t="str">
        <f t="shared" si="41"/>
        <v/>
      </c>
      <c r="F123" s="43" t="str">
        <f t="shared" si="42"/>
        <v/>
      </c>
      <c r="G123" s="43" t="str">
        <f t="shared" si="43"/>
        <v/>
      </c>
      <c r="H123" s="43" t="str">
        <f t="shared" si="44"/>
        <v/>
      </c>
      <c r="I123" s="43" t="str">
        <f t="shared" si="45"/>
        <v/>
      </c>
      <c r="J123" s="43" t="str">
        <f t="shared" si="46"/>
        <v/>
      </c>
      <c r="K123" s="33"/>
      <c r="L123" s="4"/>
    </row>
    <row r="124" spans="1:12" x14ac:dyDescent="0.3">
      <c r="A124" s="10"/>
      <c r="B124" s="37" t="str">
        <f t="shared" si="40"/>
        <v/>
      </c>
      <c r="C124" s="10"/>
      <c r="D124" s="41"/>
      <c r="E124" s="43" t="str">
        <f t="shared" si="41"/>
        <v/>
      </c>
      <c r="F124" s="43" t="str">
        <f t="shared" si="42"/>
        <v/>
      </c>
      <c r="G124" s="43" t="str">
        <f t="shared" si="43"/>
        <v/>
      </c>
      <c r="H124" s="43" t="str">
        <f t="shared" si="44"/>
        <v/>
      </c>
      <c r="I124" s="43" t="str">
        <f t="shared" si="45"/>
        <v/>
      </c>
      <c r="J124" s="43" t="str">
        <f t="shared" si="46"/>
        <v/>
      </c>
      <c r="K124" s="33"/>
      <c r="L124" s="4"/>
    </row>
    <row r="125" spans="1:12" x14ac:dyDescent="0.3">
      <c r="A125" s="10"/>
      <c r="B125" s="37" t="str">
        <f t="shared" si="40"/>
        <v/>
      </c>
      <c r="C125" s="10"/>
      <c r="D125" s="41"/>
      <c r="E125" s="43" t="str">
        <f t="shared" si="41"/>
        <v/>
      </c>
      <c r="F125" s="43" t="str">
        <f t="shared" si="42"/>
        <v/>
      </c>
      <c r="G125" s="43" t="str">
        <f t="shared" si="43"/>
        <v/>
      </c>
      <c r="H125" s="43" t="str">
        <f t="shared" si="44"/>
        <v/>
      </c>
      <c r="I125" s="43" t="str">
        <f t="shared" si="45"/>
        <v/>
      </c>
      <c r="J125" s="43" t="str">
        <f t="shared" si="46"/>
        <v/>
      </c>
      <c r="K125" s="33"/>
      <c r="L125" s="4"/>
    </row>
    <row r="126" spans="1:12" x14ac:dyDescent="0.3">
      <c r="A126" s="10"/>
      <c r="B126" s="37" t="str">
        <f t="shared" si="40"/>
        <v/>
      </c>
      <c r="C126" s="10"/>
      <c r="D126" s="41"/>
      <c r="E126" s="43" t="str">
        <f t="shared" si="41"/>
        <v/>
      </c>
      <c r="F126" s="43" t="str">
        <f t="shared" si="42"/>
        <v/>
      </c>
      <c r="G126" s="43" t="str">
        <f t="shared" si="43"/>
        <v/>
      </c>
      <c r="H126" s="43" t="str">
        <f t="shared" si="44"/>
        <v/>
      </c>
      <c r="I126" s="43" t="str">
        <f t="shared" si="45"/>
        <v/>
      </c>
      <c r="J126" s="43" t="str">
        <f t="shared" si="46"/>
        <v/>
      </c>
      <c r="K126" s="33"/>
      <c r="L126" s="4"/>
    </row>
    <row r="127" spans="1:12" x14ac:dyDescent="0.3">
      <c r="A127" s="10"/>
      <c r="B127" s="37" t="str">
        <f t="shared" si="40"/>
        <v/>
      </c>
      <c r="C127" s="10"/>
      <c r="D127" s="41"/>
      <c r="E127" s="43" t="str">
        <f t="shared" si="41"/>
        <v/>
      </c>
      <c r="F127" s="43" t="str">
        <f t="shared" si="42"/>
        <v/>
      </c>
      <c r="G127" s="43" t="str">
        <f t="shared" si="43"/>
        <v/>
      </c>
      <c r="H127" s="43" t="str">
        <f t="shared" si="44"/>
        <v/>
      </c>
      <c r="I127" s="43" t="str">
        <f t="shared" si="45"/>
        <v/>
      </c>
      <c r="J127" s="43" t="str">
        <f t="shared" si="46"/>
        <v/>
      </c>
      <c r="K127" s="33"/>
    </row>
    <row r="128" spans="1:12" x14ac:dyDescent="0.3">
      <c r="A128" s="13" t="s">
        <v>12</v>
      </c>
      <c r="B128" s="13"/>
      <c r="C128" s="13"/>
      <c r="D128" s="44"/>
      <c r="E128" s="45">
        <f>SUM(E109:E127)</f>
        <v>0</v>
      </c>
      <c r="F128" s="45">
        <f>SUM(F109:F127)</f>
        <v>0</v>
      </c>
      <c r="G128" s="45">
        <f>SUM(G109:G127)</f>
        <v>0</v>
      </c>
      <c r="H128" s="45">
        <f>SUM(H109:H127)</f>
        <v>0</v>
      </c>
      <c r="I128" s="45">
        <f t="shared" ref="I128:J128" si="47">SUM(I109:I127)</f>
        <v>0</v>
      </c>
      <c r="J128" s="45">
        <f t="shared" si="47"/>
        <v>0</v>
      </c>
      <c r="K128" s="33"/>
      <c r="L128" s="14"/>
    </row>
    <row r="129" spans="1:12" x14ac:dyDescent="0.3">
      <c r="A129" s="15"/>
      <c r="B129" s="15"/>
      <c r="C129" s="15"/>
      <c r="D129" s="40" t="s">
        <v>21</v>
      </c>
      <c r="E129" s="46"/>
      <c r="F129" s="46"/>
      <c r="G129" s="46"/>
      <c r="H129" s="46"/>
      <c r="I129" s="46"/>
      <c r="J129" s="46"/>
      <c r="K129" s="32"/>
      <c r="L129" s="4"/>
    </row>
    <row r="130" spans="1:12" x14ac:dyDescent="0.3">
      <c r="A130" s="16" t="s">
        <v>9</v>
      </c>
      <c r="B130" s="8"/>
      <c r="C130" s="9"/>
      <c r="D130" s="41">
        <v>0.375</v>
      </c>
      <c r="E130" s="47"/>
      <c r="F130" s="47"/>
      <c r="G130" s="47"/>
      <c r="H130" s="47"/>
      <c r="I130" s="47"/>
      <c r="J130" s="47"/>
      <c r="K130" s="33"/>
      <c r="L130" s="4"/>
    </row>
    <row r="131" spans="1:12" x14ac:dyDescent="0.3">
      <c r="A131" s="10"/>
      <c r="B131" s="37" t="str">
        <f t="shared" ref="B131:B148" si="48">IF(A131="","",INDEX(Number_list,MATCH(A131,Project_list,0)))</f>
        <v/>
      </c>
      <c r="C131" s="10"/>
      <c r="D131" s="41"/>
      <c r="E131" s="43" t="str">
        <f t="shared" ref="E131:E148" si="49">IF($A131="","",IF(LEFT(INDEX(Number_list,MATCH($A131,Project_list,0)),2)="20",$D131-$D130,""))</f>
        <v/>
      </c>
      <c r="F131" s="43" t="str">
        <f t="shared" ref="F131:F148" si="50">IF($A131="","",IF(LEFT(INDEX(Number_list,MATCH($A131,Project_list,0)),2)="NC",$D131-$D130,""))</f>
        <v/>
      </c>
      <c r="G131" s="43" t="str">
        <f t="shared" ref="G131:G148" si="51">IF($A131="","",IF(LEFT(INDEX(Number_list,MATCH($A131,Project_list,0)),5)="admin",$D131-$D130,""))</f>
        <v/>
      </c>
      <c r="H131" s="43" t="str">
        <f>IF($A131="full day holiday",7.5/24,IF($A131="1/2 day holiday",3.75/24,""))</f>
        <v/>
      </c>
      <c r="I131" s="43" t="str">
        <f>IF($A131="bank holiday",7.5/24,"")</f>
        <v/>
      </c>
      <c r="J131" s="43" t="str">
        <f>IF($A131="full day sick",7.5/24,IF($A131="1/2 day sick",3.75/24,""))</f>
        <v/>
      </c>
      <c r="K131" s="33"/>
      <c r="L131" s="4"/>
    </row>
    <row r="132" spans="1:12" x14ac:dyDescent="0.3">
      <c r="A132" s="10"/>
      <c r="B132" s="37" t="str">
        <f t="shared" si="48"/>
        <v/>
      </c>
      <c r="C132" s="10"/>
      <c r="D132" s="41"/>
      <c r="E132" s="43" t="str">
        <f t="shared" si="49"/>
        <v/>
      </c>
      <c r="F132" s="43" t="str">
        <f t="shared" si="50"/>
        <v/>
      </c>
      <c r="G132" s="43" t="str">
        <f t="shared" si="51"/>
        <v/>
      </c>
      <c r="H132" s="43" t="str">
        <f t="shared" ref="H132:H148" si="52">IF($A132="full day holiday",7.5/24,IF($A132="1/2 day holiday",3.75/24,""))</f>
        <v/>
      </c>
      <c r="I132" s="43" t="str">
        <f t="shared" ref="I132:I148" si="53">IF($A132="bank holiday",7.5/24,"")</f>
        <v/>
      </c>
      <c r="J132" s="43" t="str">
        <f>IF($A132="full day sick",7.5/24,IF($A132="1/2 day sick",3.75/24,""))</f>
        <v/>
      </c>
      <c r="K132" s="33"/>
      <c r="L132" s="4"/>
    </row>
    <row r="133" spans="1:12" x14ac:dyDescent="0.3">
      <c r="A133" s="10"/>
      <c r="B133" s="37" t="str">
        <f t="shared" si="48"/>
        <v/>
      </c>
      <c r="C133" s="10"/>
      <c r="D133" s="41"/>
      <c r="E133" s="43" t="str">
        <f t="shared" si="49"/>
        <v/>
      </c>
      <c r="F133" s="43" t="str">
        <f t="shared" si="50"/>
        <v/>
      </c>
      <c r="G133" s="43" t="str">
        <f t="shared" si="51"/>
        <v/>
      </c>
      <c r="H133" s="43" t="str">
        <f t="shared" si="52"/>
        <v/>
      </c>
      <c r="I133" s="43" t="str">
        <f t="shared" si="53"/>
        <v/>
      </c>
      <c r="J133" s="43" t="str">
        <f t="shared" ref="J133:J148" si="54">IF($A133="full day sick",7.5/24,IF($A133="1/2 day sick",3.75/24,""))</f>
        <v/>
      </c>
      <c r="K133" s="33"/>
      <c r="L133" s="4"/>
    </row>
    <row r="134" spans="1:12" x14ac:dyDescent="0.3">
      <c r="A134" s="10"/>
      <c r="B134" s="37" t="str">
        <f t="shared" si="48"/>
        <v/>
      </c>
      <c r="C134" s="10"/>
      <c r="D134" s="41"/>
      <c r="E134" s="43" t="str">
        <f t="shared" si="49"/>
        <v/>
      </c>
      <c r="F134" s="43" t="str">
        <f t="shared" si="50"/>
        <v/>
      </c>
      <c r="G134" s="43" t="str">
        <f t="shared" si="51"/>
        <v/>
      </c>
      <c r="H134" s="43" t="str">
        <f t="shared" si="52"/>
        <v/>
      </c>
      <c r="I134" s="43" t="str">
        <f t="shared" si="53"/>
        <v/>
      </c>
      <c r="J134" s="43" t="str">
        <f t="shared" si="54"/>
        <v/>
      </c>
      <c r="K134" s="33"/>
      <c r="L134" s="4"/>
    </row>
    <row r="135" spans="1:12" x14ac:dyDescent="0.3">
      <c r="A135" s="10"/>
      <c r="B135" s="37" t="str">
        <f t="shared" si="48"/>
        <v/>
      </c>
      <c r="C135" s="10"/>
      <c r="D135" s="41"/>
      <c r="E135" s="43" t="str">
        <f t="shared" si="49"/>
        <v/>
      </c>
      <c r="F135" s="43" t="str">
        <f t="shared" si="50"/>
        <v/>
      </c>
      <c r="G135" s="43" t="str">
        <f t="shared" si="51"/>
        <v/>
      </c>
      <c r="H135" s="43" t="str">
        <f t="shared" si="52"/>
        <v/>
      </c>
      <c r="I135" s="43" t="str">
        <f t="shared" si="53"/>
        <v/>
      </c>
      <c r="J135" s="43" t="str">
        <f t="shared" si="54"/>
        <v/>
      </c>
      <c r="K135" s="33"/>
      <c r="L135" s="4"/>
    </row>
    <row r="136" spans="1:12" x14ac:dyDescent="0.3">
      <c r="A136" s="10"/>
      <c r="B136" s="37" t="str">
        <f t="shared" si="48"/>
        <v/>
      </c>
      <c r="C136" s="10"/>
      <c r="D136" s="41"/>
      <c r="E136" s="43" t="str">
        <f t="shared" si="49"/>
        <v/>
      </c>
      <c r="F136" s="43" t="str">
        <f t="shared" si="50"/>
        <v/>
      </c>
      <c r="G136" s="43" t="str">
        <f t="shared" si="51"/>
        <v/>
      </c>
      <c r="H136" s="43" t="str">
        <f t="shared" si="52"/>
        <v/>
      </c>
      <c r="I136" s="43" t="str">
        <f t="shared" si="53"/>
        <v/>
      </c>
      <c r="J136" s="43" t="str">
        <f t="shared" si="54"/>
        <v/>
      </c>
      <c r="K136" s="33"/>
      <c r="L136" s="4"/>
    </row>
    <row r="137" spans="1:12" x14ac:dyDescent="0.3">
      <c r="A137" s="10"/>
      <c r="B137" s="37" t="str">
        <f t="shared" si="48"/>
        <v/>
      </c>
      <c r="C137" s="10"/>
      <c r="D137" s="41"/>
      <c r="E137" s="43" t="str">
        <f t="shared" si="49"/>
        <v/>
      </c>
      <c r="F137" s="43" t="str">
        <f t="shared" si="50"/>
        <v/>
      </c>
      <c r="G137" s="43" t="str">
        <f t="shared" si="51"/>
        <v/>
      </c>
      <c r="H137" s="43" t="str">
        <f t="shared" si="52"/>
        <v/>
      </c>
      <c r="I137" s="43" t="str">
        <f t="shared" si="53"/>
        <v/>
      </c>
      <c r="J137" s="43" t="str">
        <f t="shared" si="54"/>
        <v/>
      </c>
      <c r="K137" s="33"/>
      <c r="L137" s="4"/>
    </row>
    <row r="138" spans="1:12" x14ac:dyDescent="0.3">
      <c r="A138" s="10"/>
      <c r="B138" s="37" t="str">
        <f t="shared" si="48"/>
        <v/>
      </c>
      <c r="C138" s="10"/>
      <c r="D138" s="41"/>
      <c r="E138" s="43" t="str">
        <f t="shared" si="49"/>
        <v/>
      </c>
      <c r="F138" s="43" t="str">
        <f t="shared" si="50"/>
        <v/>
      </c>
      <c r="G138" s="43" t="str">
        <f t="shared" si="51"/>
        <v/>
      </c>
      <c r="H138" s="43" t="str">
        <f t="shared" si="52"/>
        <v/>
      </c>
      <c r="I138" s="43" t="str">
        <f t="shared" si="53"/>
        <v/>
      </c>
      <c r="J138" s="43" t="str">
        <f t="shared" si="54"/>
        <v/>
      </c>
      <c r="K138" s="33"/>
      <c r="L138" s="4"/>
    </row>
    <row r="139" spans="1:12" x14ac:dyDescent="0.3">
      <c r="A139" s="10"/>
      <c r="B139" s="37" t="str">
        <f t="shared" si="48"/>
        <v/>
      </c>
      <c r="C139" s="10"/>
      <c r="D139" s="41"/>
      <c r="E139" s="43" t="str">
        <f t="shared" si="49"/>
        <v/>
      </c>
      <c r="F139" s="43" t="str">
        <f t="shared" si="50"/>
        <v/>
      </c>
      <c r="G139" s="43" t="str">
        <f t="shared" si="51"/>
        <v/>
      </c>
      <c r="H139" s="43" t="str">
        <f>IF($A139="full day holiday",7.5/24,IF($A139="1/2 day holiday",3.75/24,""))</f>
        <v/>
      </c>
      <c r="I139" s="43" t="str">
        <f t="shared" si="53"/>
        <v/>
      </c>
      <c r="J139" s="43" t="str">
        <f t="shared" si="54"/>
        <v/>
      </c>
      <c r="K139" s="33"/>
      <c r="L139" s="4"/>
    </row>
    <row r="140" spans="1:12" x14ac:dyDescent="0.3">
      <c r="A140" s="10"/>
      <c r="B140" s="37" t="str">
        <f t="shared" si="48"/>
        <v/>
      </c>
      <c r="C140" s="10"/>
      <c r="D140" s="41"/>
      <c r="E140" s="43" t="str">
        <f t="shared" si="49"/>
        <v/>
      </c>
      <c r="F140" s="43" t="str">
        <f t="shared" si="50"/>
        <v/>
      </c>
      <c r="G140" s="43" t="str">
        <f t="shared" si="51"/>
        <v/>
      </c>
      <c r="H140" s="43" t="str">
        <f t="shared" si="52"/>
        <v/>
      </c>
      <c r="I140" s="43" t="str">
        <f t="shared" si="53"/>
        <v/>
      </c>
      <c r="J140" s="43" t="str">
        <f>IF($A140="full day sick",7.5/24,IF($A140="1/2 day sick",3.75/24,""))</f>
        <v/>
      </c>
      <c r="K140" s="33"/>
      <c r="L140" s="4"/>
    </row>
    <row r="141" spans="1:12" x14ac:dyDescent="0.3">
      <c r="A141" s="10"/>
      <c r="B141" s="37" t="str">
        <f t="shared" si="48"/>
        <v/>
      </c>
      <c r="C141" s="10"/>
      <c r="D141" s="41"/>
      <c r="E141" s="43" t="str">
        <f t="shared" si="49"/>
        <v/>
      </c>
      <c r="F141" s="43" t="str">
        <f t="shared" si="50"/>
        <v/>
      </c>
      <c r="G141" s="43" t="str">
        <f t="shared" si="51"/>
        <v/>
      </c>
      <c r="H141" s="43" t="str">
        <f t="shared" si="52"/>
        <v/>
      </c>
      <c r="I141" s="43" t="str">
        <f t="shared" si="53"/>
        <v/>
      </c>
      <c r="J141" s="43" t="str">
        <f t="shared" si="54"/>
        <v/>
      </c>
      <c r="K141" s="33"/>
      <c r="L141" s="4"/>
    </row>
    <row r="142" spans="1:12" x14ac:dyDescent="0.3">
      <c r="A142" s="10"/>
      <c r="B142" s="37" t="str">
        <f t="shared" si="48"/>
        <v/>
      </c>
      <c r="C142" s="10"/>
      <c r="D142" s="41"/>
      <c r="E142" s="43" t="str">
        <f t="shared" si="49"/>
        <v/>
      </c>
      <c r="F142" s="43" t="str">
        <f t="shared" si="50"/>
        <v/>
      </c>
      <c r="G142" s="43" t="str">
        <f t="shared" si="51"/>
        <v/>
      </c>
      <c r="H142" s="43" t="str">
        <f t="shared" si="52"/>
        <v/>
      </c>
      <c r="I142" s="43" t="str">
        <f t="shared" si="53"/>
        <v/>
      </c>
      <c r="J142" s="43" t="str">
        <f t="shared" si="54"/>
        <v/>
      </c>
      <c r="K142" s="33"/>
      <c r="L142" s="4"/>
    </row>
    <row r="143" spans="1:12" x14ac:dyDescent="0.3">
      <c r="A143" s="10"/>
      <c r="B143" s="37" t="str">
        <f t="shared" si="48"/>
        <v/>
      </c>
      <c r="C143" s="10"/>
      <c r="D143" s="41"/>
      <c r="E143" s="43" t="str">
        <f t="shared" si="49"/>
        <v/>
      </c>
      <c r="F143" s="43" t="str">
        <f t="shared" si="50"/>
        <v/>
      </c>
      <c r="G143" s="43" t="str">
        <f t="shared" si="51"/>
        <v/>
      </c>
      <c r="H143" s="43" t="str">
        <f t="shared" si="52"/>
        <v/>
      </c>
      <c r="I143" s="43" t="str">
        <f t="shared" si="53"/>
        <v/>
      </c>
      <c r="J143" s="43" t="str">
        <f t="shared" si="54"/>
        <v/>
      </c>
      <c r="K143" s="33"/>
      <c r="L143" s="4"/>
    </row>
    <row r="144" spans="1:12" x14ac:dyDescent="0.3">
      <c r="A144" s="10"/>
      <c r="B144" s="37" t="str">
        <f t="shared" si="48"/>
        <v/>
      </c>
      <c r="C144" s="10"/>
      <c r="D144" s="41"/>
      <c r="E144" s="43" t="str">
        <f t="shared" si="49"/>
        <v/>
      </c>
      <c r="F144" s="43" t="str">
        <f t="shared" si="50"/>
        <v/>
      </c>
      <c r="G144" s="43" t="str">
        <f t="shared" si="51"/>
        <v/>
      </c>
      <c r="H144" s="43" t="str">
        <f t="shared" si="52"/>
        <v/>
      </c>
      <c r="I144" s="43" t="str">
        <f t="shared" si="53"/>
        <v/>
      </c>
      <c r="J144" s="43" t="str">
        <f t="shared" si="54"/>
        <v/>
      </c>
      <c r="K144" s="33"/>
      <c r="L144" s="4"/>
    </row>
    <row r="145" spans="1:13" x14ac:dyDescent="0.3">
      <c r="A145" s="10"/>
      <c r="B145" s="37" t="str">
        <f t="shared" si="48"/>
        <v/>
      </c>
      <c r="C145" s="10"/>
      <c r="D145" s="41"/>
      <c r="E145" s="43" t="str">
        <f t="shared" si="49"/>
        <v/>
      </c>
      <c r="F145" s="43" t="str">
        <f t="shared" si="50"/>
        <v/>
      </c>
      <c r="G145" s="43" t="str">
        <f t="shared" si="51"/>
        <v/>
      </c>
      <c r="H145" s="43" t="str">
        <f t="shared" si="52"/>
        <v/>
      </c>
      <c r="I145" s="43" t="str">
        <f t="shared" si="53"/>
        <v/>
      </c>
      <c r="J145" s="43" t="str">
        <f t="shared" si="54"/>
        <v/>
      </c>
      <c r="K145" s="33"/>
      <c r="L145" s="4"/>
    </row>
    <row r="146" spans="1:13" x14ac:dyDescent="0.3">
      <c r="A146" s="10"/>
      <c r="B146" s="37" t="str">
        <f t="shared" si="48"/>
        <v/>
      </c>
      <c r="C146" s="10"/>
      <c r="D146" s="41"/>
      <c r="E146" s="43" t="str">
        <f t="shared" si="49"/>
        <v/>
      </c>
      <c r="F146" s="43" t="str">
        <f t="shared" si="50"/>
        <v/>
      </c>
      <c r="G146" s="43" t="str">
        <f t="shared" si="51"/>
        <v/>
      </c>
      <c r="H146" s="43" t="str">
        <f t="shared" si="52"/>
        <v/>
      </c>
      <c r="I146" s="43" t="str">
        <f t="shared" si="53"/>
        <v/>
      </c>
      <c r="J146" s="43" t="str">
        <f t="shared" si="54"/>
        <v/>
      </c>
      <c r="K146" s="33"/>
      <c r="L146" s="4"/>
    </row>
    <row r="147" spans="1:13" x14ac:dyDescent="0.3">
      <c r="A147" s="10"/>
      <c r="B147" s="37" t="str">
        <f t="shared" si="48"/>
        <v/>
      </c>
      <c r="C147" s="10"/>
      <c r="D147" s="41"/>
      <c r="E147" s="43" t="str">
        <f t="shared" si="49"/>
        <v/>
      </c>
      <c r="F147" s="43" t="str">
        <f t="shared" si="50"/>
        <v/>
      </c>
      <c r="G147" s="43" t="str">
        <f t="shared" si="51"/>
        <v/>
      </c>
      <c r="H147" s="43" t="str">
        <f t="shared" si="52"/>
        <v/>
      </c>
      <c r="I147" s="43" t="str">
        <f t="shared" si="53"/>
        <v/>
      </c>
      <c r="J147" s="43" t="str">
        <f t="shared" si="54"/>
        <v/>
      </c>
      <c r="K147" s="33"/>
      <c r="L147" s="4"/>
    </row>
    <row r="148" spans="1:13" x14ac:dyDescent="0.3">
      <c r="A148" s="10"/>
      <c r="B148" s="37" t="str">
        <f t="shared" si="48"/>
        <v/>
      </c>
      <c r="C148" s="10"/>
      <c r="D148" s="41"/>
      <c r="E148" s="43" t="str">
        <f t="shared" si="49"/>
        <v/>
      </c>
      <c r="F148" s="43" t="str">
        <f t="shared" si="50"/>
        <v/>
      </c>
      <c r="G148" s="43" t="str">
        <f t="shared" si="51"/>
        <v/>
      </c>
      <c r="H148" s="43" t="str">
        <f t="shared" si="52"/>
        <v/>
      </c>
      <c r="I148" s="43" t="str">
        <f t="shared" si="53"/>
        <v/>
      </c>
      <c r="J148" s="43" t="str">
        <f t="shared" si="54"/>
        <v/>
      </c>
      <c r="K148" s="33"/>
    </row>
    <row r="149" spans="1:13" x14ac:dyDescent="0.3">
      <c r="A149" s="13" t="s">
        <v>12</v>
      </c>
      <c r="B149" s="13"/>
      <c r="C149" s="13"/>
      <c r="D149" s="44"/>
      <c r="E149" s="45">
        <f>SUM(E130:E148)</f>
        <v>0</v>
      </c>
      <c r="F149" s="45">
        <f>SUM(F130:F148)</f>
        <v>0</v>
      </c>
      <c r="G149" s="45">
        <f>SUM(G130:G148)</f>
        <v>0</v>
      </c>
      <c r="H149" s="45">
        <f>SUM(H130:H148)</f>
        <v>0</v>
      </c>
      <c r="I149" s="45">
        <f t="shared" ref="I149:J149" si="55">SUM(I130:I148)</f>
        <v>0</v>
      </c>
      <c r="J149" s="45">
        <f t="shared" si="55"/>
        <v>0</v>
      </c>
      <c r="K149" s="29"/>
      <c r="L149" s="14"/>
    </row>
    <row r="150" spans="1:13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L150" s="6"/>
      <c r="M150" s="6"/>
    </row>
    <row r="151" spans="1:13" ht="31.2" x14ac:dyDescent="0.3">
      <c r="A151" s="6" t="s">
        <v>15</v>
      </c>
      <c r="B151" s="15"/>
      <c r="C151" s="15"/>
      <c r="D151" s="15"/>
      <c r="E151" s="5" t="str">
        <f>E3</f>
        <v>Projects</v>
      </c>
      <c r="F151" s="5" t="str">
        <f>F3</f>
        <v>Non-chargeable</v>
      </c>
      <c r="G151" s="5"/>
      <c r="H151" s="5" t="s">
        <v>6</v>
      </c>
      <c r="I151" s="5" t="s">
        <v>7</v>
      </c>
      <c r="J151" s="5" t="s">
        <v>8</v>
      </c>
      <c r="K151" s="28"/>
      <c r="L151" s="5" t="s">
        <v>16</v>
      </c>
      <c r="M151" s="5" t="s">
        <v>17</v>
      </c>
    </row>
    <row r="152" spans="1:13" x14ac:dyDescent="0.3">
      <c r="D152" s="12"/>
      <c r="E152" s="12">
        <f ca="1">E23+E44+E65+E86+E107+E128+E149</f>
        <v>0.85416666666666652</v>
      </c>
      <c r="F152" s="12">
        <f ca="1">F23+F44+F65+F86+F107+F128+F149</f>
        <v>0.1875</v>
      </c>
      <c r="G152" s="12">
        <f ca="1">G23+G44+G65+G86+G107+G128+G149</f>
        <v>0.25</v>
      </c>
      <c r="H152" s="12">
        <f>H23+H44+H65+H86+H107+H128+H149</f>
        <v>0.3125</v>
      </c>
      <c r="I152" s="12">
        <f t="shared" ref="I152:J152" si="56">I23+I44+I65+I86+I107+I128+I149</f>
        <v>0</v>
      </c>
      <c r="J152" s="12">
        <f t="shared" si="56"/>
        <v>0</v>
      </c>
      <c r="K152" s="26"/>
      <c r="L152" s="12">
        <f ca="1">E152</f>
        <v>0.85416666666666652</v>
      </c>
      <c r="M152" s="12">
        <f ca="1">E152+F152+G152</f>
        <v>1.2916666666666665</v>
      </c>
    </row>
    <row r="154" spans="1:13" ht="35.4" customHeight="1" x14ac:dyDescent="0.3"/>
    <row r="155" spans="1:13" x14ac:dyDescent="0.3">
      <c r="D155" s="1"/>
      <c r="L155" s="17"/>
    </row>
    <row r="156" spans="1:13" x14ac:dyDescent="0.3">
      <c r="D156" s="1"/>
      <c r="L156" s="17"/>
    </row>
    <row r="157" spans="1:13" x14ac:dyDescent="0.3">
      <c r="F157" s="17"/>
      <c r="G157" s="17"/>
    </row>
    <row r="158" spans="1:13" x14ac:dyDescent="0.3">
      <c r="F158" s="17"/>
      <c r="G158" s="17"/>
    </row>
    <row r="159" spans="1:13" x14ac:dyDescent="0.3">
      <c r="F159" s="17"/>
      <c r="G159" s="17"/>
    </row>
  </sheetData>
  <dataValidations count="3">
    <dataValidation type="list" allowBlank="1" showDropDown="1" showInputMessage="1" showErrorMessage="1" sqref="A5:A7" xr:uid="{0D5C1258-5476-4095-A31B-2F54F24C9F38}">
      <formula1>Project_list</formula1>
    </dataValidation>
    <dataValidation type="list" allowBlank="1" showInputMessage="1" showErrorMessage="1" sqref="A131:A148 A26:A43 A47:A64 A68:A85 A89:A106 A110:A127 A8:A22" xr:uid="{A9E2A69F-E360-4017-AAE8-E82C8290E28F}">
      <formula1>Project_list</formula1>
    </dataValidation>
    <dataValidation type="list" allowBlank="1" showInputMessage="1" showErrorMessage="1" sqref="A25 A46 A67 A88 A109 A130" xr:uid="{ED6120BE-D457-4072-841C-16A730A7BE6F}">
      <formula1>Project_table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33794" r:id="rId4" name="TempCombo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190500</xdr:rowOff>
              </to>
            </anchor>
          </controlPr>
        </control>
      </mc:Choice>
      <mc:Fallback>
        <control shapeId="33794" r:id="rId4" name="TempCombo"/>
      </mc:Fallback>
    </mc:AlternateContent>
    <mc:AlternateContent xmlns:mc="http://schemas.openxmlformats.org/markup-compatibility/2006">
      <mc:Choice Requires="x14">
        <control shapeId="33795" r:id="rId6" name="Button 3">
          <controlPr defaultSize="0" print="0" autoFill="0" autoPict="0" macro="[0]!Transfer_Timesheet">
            <anchor moveWithCells="1" sizeWithCells="1">
              <from>
                <xdr:col>13</xdr:col>
                <xdr:colOff>60960</xdr:colOff>
                <xdr:row>153</xdr:row>
                <xdr:rowOff>99060</xdr:rowOff>
              </from>
              <to>
                <xdr:col>13</xdr:col>
                <xdr:colOff>1630680</xdr:colOff>
                <xdr:row>153</xdr:row>
                <xdr:rowOff>350520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3D87-74CA-48C6-B01B-2535CE44A574}">
  <sheetPr codeName="Sheet31"/>
  <dimension ref="A1:M159"/>
  <sheetViews>
    <sheetView zoomScale="85" zoomScaleNormal="85" workbookViewId="0"/>
  </sheetViews>
  <sheetFormatPr defaultColWidth="11.19921875" defaultRowHeight="15.6" x14ac:dyDescent="0.3"/>
  <cols>
    <col min="1" max="1" width="29.19921875" customWidth="1"/>
    <col min="2" max="2" width="15.69921875" customWidth="1"/>
    <col min="3" max="3" width="14.69921875" bestFit="1" customWidth="1"/>
    <col min="4" max="4" width="10.5" customWidth="1"/>
    <col min="5" max="6" width="14.8984375" customWidth="1"/>
    <col min="7" max="7" width="13.8984375" customWidth="1"/>
    <col min="8" max="8" width="10.19921875" customWidth="1"/>
    <col min="9" max="9" width="12.69921875" customWidth="1"/>
    <col min="10" max="10" width="10.19921875" customWidth="1"/>
    <col min="11" max="11" width="17.796875" style="27" hidden="1" customWidth="1"/>
    <col min="14" max="14" width="22.3984375" customWidth="1"/>
  </cols>
  <sheetData>
    <row r="1" spans="1:12" x14ac:dyDescent="0.3">
      <c r="A1" s="48" t="s">
        <v>18</v>
      </c>
      <c r="B1" s="49" t="s">
        <v>30</v>
      </c>
      <c r="C1" s="1"/>
    </row>
    <row r="2" spans="1:12" x14ac:dyDescent="0.3">
      <c r="A2" s="25">
        <v>2</v>
      </c>
      <c r="B2" s="2">
        <v>44200</v>
      </c>
      <c r="C2" s="3"/>
      <c r="L2" s="4"/>
    </row>
    <row r="3" spans="1:12" ht="44.4" customHeight="1" x14ac:dyDescent="0.3">
      <c r="A3" s="38" t="s">
        <v>0</v>
      </c>
      <c r="B3" s="38" t="s">
        <v>1</v>
      </c>
      <c r="C3" s="38" t="s">
        <v>2</v>
      </c>
      <c r="D3" s="40" t="s">
        <v>3</v>
      </c>
      <c r="E3" s="39" t="s">
        <v>4</v>
      </c>
      <c r="F3" s="39" t="s">
        <v>5</v>
      </c>
      <c r="G3" s="39" t="s">
        <v>28</v>
      </c>
      <c r="H3" s="39" t="s">
        <v>6</v>
      </c>
      <c r="I3" s="39" t="s">
        <v>7</v>
      </c>
      <c r="J3" s="39" t="s">
        <v>8</v>
      </c>
      <c r="K3" s="31"/>
      <c r="L3" s="4"/>
    </row>
    <row r="4" spans="1:12" x14ac:dyDescent="0.3">
      <c r="A4" s="7" t="s">
        <v>9</v>
      </c>
      <c r="B4" s="8"/>
      <c r="C4" s="9"/>
      <c r="D4" s="41">
        <v>0.375</v>
      </c>
      <c r="E4" s="42"/>
      <c r="F4" s="42"/>
      <c r="G4" s="42"/>
      <c r="H4" s="42"/>
      <c r="I4" s="42"/>
      <c r="J4" s="42"/>
      <c r="K4" s="32"/>
    </row>
    <row r="5" spans="1:12" x14ac:dyDescent="0.3">
      <c r="A5" s="10"/>
      <c r="B5" s="37" t="str">
        <f>IF(A5="","",INDEX(Number_list,MATCH(A5,Project_list,0)))</f>
        <v/>
      </c>
      <c r="C5" s="10"/>
      <c r="D5" s="41"/>
      <c r="E5" s="43" t="str">
        <f t="shared" ref="E5:E22" si="0">IF($A5="","",IF(LEFT(INDEX(Number_list,MATCH($A5,Project_list,0)),2)="20",$D5-$D4,""))</f>
        <v/>
      </c>
      <c r="F5" s="43" t="str">
        <f t="shared" ref="F5:F22" si="1">IF($A5="","",IF(LEFT(INDEX(Number_list,MATCH($A5,Project_list,0)),2)="NC",$D5-$D4,""))</f>
        <v/>
      </c>
      <c r="G5" s="43" t="str">
        <f t="shared" ref="G5:G22" si="2">IF($A5="","",IF(LEFT(INDEX(Number_list,MATCH($A5,Project_list,0)),5)="admin",$D5-$D4,""))</f>
        <v/>
      </c>
      <c r="H5" s="43" t="str">
        <f>IF($A5="full day holiday",7.5/24,IF($A5="1/2 day holiday",3.75/24,""))</f>
        <v/>
      </c>
      <c r="I5" s="43" t="str">
        <f>IF($A5="bank holiday",7.5/24,"")</f>
        <v/>
      </c>
      <c r="J5" s="43" t="str">
        <f>IF($A5="full day sick",7.5/24,IF($A5="1/2 day sick",3.75/24,""))</f>
        <v/>
      </c>
      <c r="K5" s="11" t="str">
        <f>IF($A5="","",IF(LEFT(INDEX(Number_list,MATCH($A5,Project_list,0)),5)="admin",$D5-$D4,""))</f>
        <v/>
      </c>
    </row>
    <row r="6" spans="1:12" x14ac:dyDescent="0.3">
      <c r="A6" s="10"/>
      <c r="B6" s="37" t="str">
        <f t="shared" ref="B6:B22" si="3">IF(A6="","",INDEX(Number_list,MATCH(A6,Project_list,0)))</f>
        <v/>
      </c>
      <c r="C6" s="10"/>
      <c r="D6" s="41"/>
      <c r="E6" s="43" t="str">
        <f t="shared" si="0"/>
        <v/>
      </c>
      <c r="F6" s="43" t="str">
        <f t="shared" si="1"/>
        <v/>
      </c>
      <c r="G6" s="43" t="str">
        <f t="shared" si="2"/>
        <v/>
      </c>
      <c r="H6" s="43" t="str">
        <f t="shared" ref="H6:H22" si="4">IF($A6="full day holiday",7.5/24,IF($A6="1/2 day holiday",3.75/24,""))</f>
        <v/>
      </c>
      <c r="I6" s="43" t="str">
        <f t="shared" ref="I6:I22" si="5">IF($A6="bank holiday",7.5/24,"")</f>
        <v/>
      </c>
      <c r="J6" s="43" t="str">
        <f>IF($A6="full day sick",7.5/24,IF($A6="1/2 day sick",3.75/24,""))</f>
        <v/>
      </c>
      <c r="K6" s="33"/>
    </row>
    <row r="7" spans="1:12" x14ac:dyDescent="0.3">
      <c r="A7" s="10"/>
      <c r="B7" s="37" t="str">
        <f t="shared" si="3"/>
        <v/>
      </c>
      <c r="C7" s="10"/>
      <c r="D7" s="41"/>
      <c r="E7" s="43" t="str">
        <f t="shared" si="0"/>
        <v/>
      </c>
      <c r="F7" s="43" t="str">
        <f t="shared" si="1"/>
        <v/>
      </c>
      <c r="G7" s="43" t="str">
        <f t="shared" si="2"/>
        <v/>
      </c>
      <c r="H7" s="43" t="str">
        <f t="shared" si="4"/>
        <v/>
      </c>
      <c r="I7" s="43" t="str">
        <f t="shared" si="5"/>
        <v/>
      </c>
      <c r="J7" s="43" t="str">
        <f t="shared" ref="J7:J22" si="6">IF($A7="full day sick",7.5/24,IF($A7="1/2 day sick",3.75/24,""))</f>
        <v/>
      </c>
      <c r="K7" s="33"/>
    </row>
    <row r="8" spans="1:12" x14ac:dyDescent="0.3">
      <c r="A8" s="10"/>
      <c r="B8" s="37" t="str">
        <f t="shared" si="3"/>
        <v/>
      </c>
      <c r="C8" s="10"/>
      <c r="D8" s="41"/>
      <c r="E8" s="43" t="str">
        <f t="shared" si="0"/>
        <v/>
      </c>
      <c r="F8" s="43" t="str">
        <f t="shared" si="1"/>
        <v/>
      </c>
      <c r="G8" s="43" t="str">
        <f t="shared" si="2"/>
        <v/>
      </c>
      <c r="H8" s="43" t="str">
        <f t="shared" si="4"/>
        <v/>
      </c>
      <c r="I8" s="43" t="str">
        <f t="shared" si="5"/>
        <v/>
      </c>
      <c r="J8" s="43" t="str">
        <f t="shared" si="6"/>
        <v/>
      </c>
      <c r="K8" s="33"/>
    </row>
    <row r="9" spans="1:12" x14ac:dyDescent="0.3">
      <c r="A9" s="10"/>
      <c r="B9" s="37" t="str">
        <f>IF(A9="","",INDEX(Number_list,MATCH(A9,Project_list,0)))</f>
        <v/>
      </c>
      <c r="C9" s="10"/>
      <c r="D9" s="41"/>
      <c r="E9" s="43" t="str">
        <f t="shared" si="0"/>
        <v/>
      </c>
      <c r="F9" s="43" t="str">
        <f t="shared" si="1"/>
        <v/>
      </c>
      <c r="G9" s="43" t="str">
        <f t="shared" si="2"/>
        <v/>
      </c>
      <c r="H9" s="43" t="str">
        <f t="shared" si="4"/>
        <v/>
      </c>
      <c r="I9" s="43" t="str">
        <f t="shared" si="5"/>
        <v/>
      </c>
      <c r="J9" s="43" t="str">
        <f t="shared" si="6"/>
        <v/>
      </c>
      <c r="K9" s="33"/>
    </row>
    <row r="10" spans="1:12" x14ac:dyDescent="0.3">
      <c r="A10" s="10"/>
      <c r="B10" s="37" t="str">
        <f t="shared" si="3"/>
        <v/>
      </c>
      <c r="C10" s="10"/>
      <c r="D10" s="41"/>
      <c r="E10" s="43" t="str">
        <f t="shared" si="0"/>
        <v/>
      </c>
      <c r="F10" s="43" t="str">
        <f t="shared" si="1"/>
        <v/>
      </c>
      <c r="G10" s="43" t="str">
        <f t="shared" si="2"/>
        <v/>
      </c>
      <c r="H10" s="43" t="str">
        <f t="shared" si="4"/>
        <v/>
      </c>
      <c r="I10" s="43" t="str">
        <f t="shared" si="5"/>
        <v/>
      </c>
      <c r="J10" s="43" t="str">
        <f t="shared" si="6"/>
        <v/>
      </c>
      <c r="K10" s="33"/>
    </row>
    <row r="11" spans="1:12" x14ac:dyDescent="0.3">
      <c r="A11" s="10"/>
      <c r="B11" s="37" t="str">
        <f t="shared" si="3"/>
        <v/>
      </c>
      <c r="C11" s="10"/>
      <c r="D11" s="41"/>
      <c r="E11" s="43" t="str">
        <f t="shared" si="0"/>
        <v/>
      </c>
      <c r="F11" s="43" t="str">
        <f t="shared" si="1"/>
        <v/>
      </c>
      <c r="G11" s="43" t="str">
        <f t="shared" si="2"/>
        <v/>
      </c>
      <c r="H11" s="43" t="str">
        <f t="shared" si="4"/>
        <v/>
      </c>
      <c r="I11" s="43" t="str">
        <f t="shared" si="5"/>
        <v/>
      </c>
      <c r="J11" s="43" t="str">
        <f t="shared" si="6"/>
        <v/>
      </c>
      <c r="K11" s="33"/>
    </row>
    <row r="12" spans="1:12" x14ac:dyDescent="0.3">
      <c r="A12" s="10"/>
      <c r="B12" s="37" t="str">
        <f t="shared" si="3"/>
        <v/>
      </c>
      <c r="C12" s="10"/>
      <c r="D12" s="41"/>
      <c r="E12" s="43" t="str">
        <f t="shared" si="0"/>
        <v/>
      </c>
      <c r="F12" s="43" t="str">
        <f t="shared" si="1"/>
        <v/>
      </c>
      <c r="G12" s="43" t="str">
        <f t="shared" si="2"/>
        <v/>
      </c>
      <c r="H12" s="43" t="str">
        <f t="shared" si="4"/>
        <v/>
      </c>
      <c r="I12" s="43" t="str">
        <f t="shared" si="5"/>
        <v/>
      </c>
      <c r="J12" s="43" t="str">
        <f t="shared" si="6"/>
        <v/>
      </c>
      <c r="K12" s="33"/>
    </row>
    <row r="13" spans="1:12" x14ac:dyDescent="0.3">
      <c r="A13" s="10"/>
      <c r="B13" s="37" t="str">
        <f t="shared" si="3"/>
        <v/>
      </c>
      <c r="C13" s="10"/>
      <c r="D13" s="41"/>
      <c r="E13" s="43" t="str">
        <f t="shared" si="0"/>
        <v/>
      </c>
      <c r="F13" s="43" t="str">
        <f t="shared" si="1"/>
        <v/>
      </c>
      <c r="G13" s="43" t="str">
        <f t="shared" si="2"/>
        <v/>
      </c>
      <c r="H13" s="43" t="str">
        <f t="shared" si="4"/>
        <v/>
      </c>
      <c r="I13" s="43" t="str">
        <f t="shared" si="5"/>
        <v/>
      </c>
      <c r="J13" s="43" t="str">
        <f t="shared" si="6"/>
        <v/>
      </c>
      <c r="K13" s="33"/>
    </row>
    <row r="14" spans="1:12" x14ac:dyDescent="0.3">
      <c r="A14" s="10"/>
      <c r="B14" s="37" t="str">
        <f t="shared" si="3"/>
        <v/>
      </c>
      <c r="C14" s="10"/>
      <c r="D14" s="41"/>
      <c r="E14" s="43" t="str">
        <f t="shared" si="0"/>
        <v/>
      </c>
      <c r="F14" s="43" t="str">
        <f t="shared" si="1"/>
        <v/>
      </c>
      <c r="G14" s="43" t="str">
        <f t="shared" si="2"/>
        <v/>
      </c>
      <c r="H14" s="43" t="str">
        <f t="shared" si="4"/>
        <v/>
      </c>
      <c r="I14" s="43" t="str">
        <f t="shared" si="5"/>
        <v/>
      </c>
      <c r="J14" s="43" t="str">
        <f t="shared" si="6"/>
        <v/>
      </c>
      <c r="K14" s="33"/>
    </row>
    <row r="15" spans="1:12" x14ac:dyDescent="0.3">
      <c r="A15" s="10"/>
      <c r="B15" s="37" t="str">
        <f t="shared" si="3"/>
        <v/>
      </c>
      <c r="C15" s="10"/>
      <c r="D15" s="41"/>
      <c r="E15" s="43" t="str">
        <f t="shared" si="0"/>
        <v/>
      </c>
      <c r="F15" s="43" t="str">
        <f t="shared" si="1"/>
        <v/>
      </c>
      <c r="G15" s="43" t="str">
        <f t="shared" si="2"/>
        <v/>
      </c>
      <c r="H15" s="43" t="str">
        <f t="shared" si="4"/>
        <v/>
      </c>
      <c r="I15" s="43" t="str">
        <f t="shared" si="5"/>
        <v/>
      </c>
      <c r="J15" s="43" t="str">
        <f t="shared" si="6"/>
        <v/>
      </c>
      <c r="K15" s="33"/>
    </row>
    <row r="16" spans="1:12" x14ac:dyDescent="0.3">
      <c r="A16" s="10"/>
      <c r="B16" s="37" t="str">
        <f t="shared" si="3"/>
        <v/>
      </c>
      <c r="C16" s="10"/>
      <c r="D16" s="41"/>
      <c r="E16" s="43" t="str">
        <f t="shared" si="0"/>
        <v/>
      </c>
      <c r="F16" s="43" t="str">
        <f t="shared" si="1"/>
        <v/>
      </c>
      <c r="G16" s="43" t="str">
        <f t="shared" si="2"/>
        <v/>
      </c>
      <c r="H16" s="43" t="str">
        <f t="shared" si="4"/>
        <v/>
      </c>
      <c r="I16" s="43" t="str">
        <f t="shared" si="5"/>
        <v/>
      </c>
      <c r="J16" s="43" t="str">
        <f t="shared" si="6"/>
        <v/>
      </c>
      <c r="K16" s="33"/>
    </row>
    <row r="17" spans="1:12" x14ac:dyDescent="0.3">
      <c r="A17" s="10"/>
      <c r="B17" s="37" t="str">
        <f t="shared" si="3"/>
        <v/>
      </c>
      <c r="C17" s="10"/>
      <c r="D17" s="41"/>
      <c r="E17" s="43" t="str">
        <f t="shared" si="0"/>
        <v/>
      </c>
      <c r="F17" s="43" t="str">
        <f t="shared" si="1"/>
        <v/>
      </c>
      <c r="G17" s="43" t="str">
        <f t="shared" si="2"/>
        <v/>
      </c>
      <c r="H17" s="43" t="str">
        <f t="shared" si="4"/>
        <v/>
      </c>
      <c r="I17" s="43" t="str">
        <f t="shared" si="5"/>
        <v/>
      </c>
      <c r="J17" s="43" t="str">
        <f t="shared" si="6"/>
        <v/>
      </c>
      <c r="K17" s="33"/>
    </row>
    <row r="18" spans="1:12" x14ac:dyDescent="0.3">
      <c r="A18" s="10"/>
      <c r="B18" s="37" t="str">
        <f t="shared" si="3"/>
        <v/>
      </c>
      <c r="C18" s="10"/>
      <c r="D18" s="41"/>
      <c r="E18" s="43" t="str">
        <f t="shared" si="0"/>
        <v/>
      </c>
      <c r="F18" s="43" t="str">
        <f t="shared" si="1"/>
        <v/>
      </c>
      <c r="G18" s="43" t="str">
        <f t="shared" si="2"/>
        <v/>
      </c>
      <c r="H18" s="43" t="str">
        <f t="shared" si="4"/>
        <v/>
      </c>
      <c r="I18" s="43" t="str">
        <f t="shared" si="5"/>
        <v/>
      </c>
      <c r="J18" s="43" t="str">
        <f t="shared" si="6"/>
        <v/>
      </c>
      <c r="K18" s="33"/>
    </row>
    <row r="19" spans="1:12" x14ac:dyDescent="0.3">
      <c r="A19" s="10"/>
      <c r="B19" s="37" t="str">
        <f t="shared" si="3"/>
        <v/>
      </c>
      <c r="C19" s="10"/>
      <c r="D19" s="41"/>
      <c r="E19" s="43" t="str">
        <f t="shared" si="0"/>
        <v/>
      </c>
      <c r="F19" s="43" t="str">
        <f t="shared" si="1"/>
        <v/>
      </c>
      <c r="G19" s="43" t="str">
        <f t="shared" si="2"/>
        <v/>
      </c>
      <c r="H19" s="43" t="str">
        <f t="shared" si="4"/>
        <v/>
      </c>
      <c r="I19" s="43" t="str">
        <f t="shared" si="5"/>
        <v/>
      </c>
      <c r="J19" s="43" t="str">
        <f t="shared" si="6"/>
        <v/>
      </c>
      <c r="K19" s="33"/>
    </row>
    <row r="20" spans="1:12" x14ac:dyDescent="0.3">
      <c r="A20" s="10"/>
      <c r="B20" s="37" t="str">
        <f t="shared" si="3"/>
        <v/>
      </c>
      <c r="C20" s="10"/>
      <c r="D20" s="41"/>
      <c r="E20" s="43" t="str">
        <f t="shared" si="0"/>
        <v/>
      </c>
      <c r="F20" s="43" t="str">
        <f t="shared" si="1"/>
        <v/>
      </c>
      <c r="G20" s="43" t="str">
        <f t="shared" si="2"/>
        <v/>
      </c>
      <c r="H20" s="43" t="str">
        <f t="shared" si="4"/>
        <v/>
      </c>
      <c r="I20" s="43" t="str">
        <f t="shared" si="5"/>
        <v/>
      </c>
      <c r="J20" s="43" t="str">
        <f t="shared" si="6"/>
        <v/>
      </c>
      <c r="K20" s="33"/>
    </row>
    <row r="21" spans="1:12" x14ac:dyDescent="0.3">
      <c r="A21" s="10"/>
      <c r="B21" s="37" t="str">
        <f t="shared" si="3"/>
        <v/>
      </c>
      <c r="C21" s="10"/>
      <c r="D21" s="41"/>
      <c r="E21" s="43" t="str">
        <f t="shared" si="0"/>
        <v/>
      </c>
      <c r="F21" s="43" t="str">
        <f t="shared" si="1"/>
        <v/>
      </c>
      <c r="G21" s="43" t="str">
        <f t="shared" si="2"/>
        <v/>
      </c>
      <c r="H21" s="43" t="str">
        <f t="shared" si="4"/>
        <v/>
      </c>
      <c r="I21" s="43" t="str">
        <f t="shared" si="5"/>
        <v/>
      </c>
      <c r="J21" s="43" t="str">
        <f t="shared" si="6"/>
        <v/>
      </c>
      <c r="K21" s="33"/>
    </row>
    <row r="22" spans="1:12" x14ac:dyDescent="0.3">
      <c r="A22" s="10"/>
      <c r="B22" s="37" t="str">
        <f t="shared" si="3"/>
        <v/>
      </c>
      <c r="C22" s="10"/>
      <c r="D22" s="41"/>
      <c r="E22" s="43" t="str">
        <f t="shared" si="0"/>
        <v/>
      </c>
      <c r="F22" s="43" t="str">
        <f t="shared" si="1"/>
        <v/>
      </c>
      <c r="G22" s="43" t="str">
        <f t="shared" si="2"/>
        <v/>
      </c>
      <c r="H22" s="43" t="str">
        <f t="shared" si="4"/>
        <v/>
      </c>
      <c r="I22" s="43" t="str">
        <f t="shared" si="5"/>
        <v/>
      </c>
      <c r="J22" s="43" t="str">
        <f t="shared" si="6"/>
        <v/>
      </c>
      <c r="K22" s="33"/>
    </row>
    <row r="23" spans="1:12" x14ac:dyDescent="0.3">
      <c r="A23" s="13" t="s">
        <v>12</v>
      </c>
      <c r="B23" s="13"/>
      <c r="C23" s="13"/>
      <c r="D23" s="44"/>
      <c r="E23" s="45">
        <f>SUM(E4:E22)</f>
        <v>0</v>
      </c>
      <c r="F23" s="45">
        <f>SUM(F4:F22)</f>
        <v>0</v>
      </c>
      <c r="G23" s="45">
        <f>SUM(G4:G22)</f>
        <v>0</v>
      </c>
      <c r="H23" s="45">
        <f>SUM(H4:H22)</f>
        <v>0</v>
      </c>
      <c r="I23" s="45">
        <f t="shared" ref="I23:J23" si="7">SUM(I4:I22)</f>
        <v>0</v>
      </c>
      <c r="J23" s="45">
        <f t="shared" si="7"/>
        <v>0</v>
      </c>
      <c r="K23" s="34"/>
      <c r="L23" s="14"/>
    </row>
    <row r="24" spans="1:12" x14ac:dyDescent="0.3">
      <c r="A24" s="15"/>
      <c r="B24" s="15"/>
      <c r="C24" s="15"/>
      <c r="D24" s="40" t="s">
        <v>10</v>
      </c>
      <c r="E24" s="46"/>
      <c r="F24" s="46"/>
      <c r="G24" s="46"/>
      <c r="H24" s="46"/>
      <c r="I24" s="46"/>
      <c r="J24" s="46"/>
      <c r="K24" s="32"/>
      <c r="L24" s="4"/>
    </row>
    <row r="25" spans="1:12" x14ac:dyDescent="0.3">
      <c r="A25" s="10" t="s">
        <v>9</v>
      </c>
      <c r="B25" s="8"/>
      <c r="C25" s="9"/>
      <c r="D25" s="41">
        <v>0.375</v>
      </c>
      <c r="E25" s="47"/>
      <c r="F25" s="47"/>
      <c r="G25" s="47"/>
      <c r="H25" s="47"/>
      <c r="I25" s="47"/>
      <c r="J25" s="47"/>
      <c r="K25" s="33"/>
      <c r="L25" s="4"/>
    </row>
    <row r="26" spans="1:12" x14ac:dyDescent="0.3">
      <c r="A26" s="10"/>
      <c r="B26" s="37" t="str">
        <f t="shared" ref="B26:B43" si="8">IF(A26="","",INDEX(Number_list,MATCH(A26,Project_list,0)))</f>
        <v/>
      </c>
      <c r="C26" s="10"/>
      <c r="D26" s="41"/>
      <c r="E26" s="43" t="str">
        <f t="shared" ref="E26:E43" si="9">IF($A26="","",IF(LEFT(INDEX(Number_list,MATCH($A26,Project_list,0)),2)="20",$D26-$D25,""))</f>
        <v/>
      </c>
      <c r="F26" s="43" t="str">
        <f t="shared" ref="F26:F43" si="10">IF($A26="","",IF(LEFT(INDEX(Number_list,MATCH($A26,Project_list,0)),2)="NC",$D26-$D25,""))</f>
        <v/>
      </c>
      <c r="G26" s="43" t="str">
        <f t="shared" ref="G26:G43" si="11">IF($A26="","",IF(LEFT(INDEX(Number_list,MATCH($A26,Project_list,0)),5)="admin",$D26-$D25,""))</f>
        <v/>
      </c>
      <c r="H26" s="43" t="str">
        <f>IF($A26="full day holiday",7.5/24,IF($A26="1/2 day holiday",3.75/24,""))</f>
        <v/>
      </c>
      <c r="I26" s="43" t="str">
        <f>IF($A26="bank holiday",7.5/24,"")</f>
        <v/>
      </c>
      <c r="J26" s="43" t="str">
        <f>IF($A26="full day sick",7.5/24,IF($A26="1/2 day sick",3.75/24,""))</f>
        <v/>
      </c>
      <c r="K26" s="33"/>
      <c r="L26" s="4"/>
    </row>
    <row r="27" spans="1:12" x14ac:dyDescent="0.3">
      <c r="A27" s="10"/>
      <c r="B27" s="37" t="str">
        <f t="shared" si="8"/>
        <v/>
      </c>
      <c r="C27" s="10"/>
      <c r="D27" s="41"/>
      <c r="E27" s="43" t="str">
        <f t="shared" si="9"/>
        <v/>
      </c>
      <c r="F27" s="43" t="str">
        <f t="shared" si="10"/>
        <v/>
      </c>
      <c r="G27" s="43" t="str">
        <f t="shared" si="11"/>
        <v/>
      </c>
      <c r="H27" s="43" t="str">
        <f t="shared" ref="H27:H43" si="12">IF($A27="full day holiday",7.5/24,IF($A27="1/2 day holiday",3.75/24,""))</f>
        <v/>
      </c>
      <c r="I27" s="43" t="str">
        <f t="shared" ref="I27:I43" si="13">IF($A27="bank holiday",7.5/24,"")</f>
        <v/>
      </c>
      <c r="J27" s="43" t="str">
        <f>IF($A27="full day sick",7.5/24,IF($A27="1/2 day sick",3.75/24,""))</f>
        <v/>
      </c>
      <c r="K27" s="33"/>
      <c r="L27" s="4"/>
    </row>
    <row r="28" spans="1:12" x14ac:dyDescent="0.3">
      <c r="A28" s="10"/>
      <c r="B28" s="37" t="str">
        <f t="shared" si="8"/>
        <v/>
      </c>
      <c r="C28" s="10"/>
      <c r="D28" s="41"/>
      <c r="E28" s="43" t="str">
        <f t="shared" si="9"/>
        <v/>
      </c>
      <c r="F28" s="43" t="str">
        <f t="shared" si="10"/>
        <v/>
      </c>
      <c r="G28" s="43" t="str">
        <f t="shared" si="11"/>
        <v/>
      </c>
      <c r="H28" s="43" t="str">
        <f t="shared" si="12"/>
        <v/>
      </c>
      <c r="I28" s="43" t="str">
        <f t="shared" si="13"/>
        <v/>
      </c>
      <c r="J28" s="43" t="str">
        <f t="shared" ref="J28:J43" si="14">IF($A28="full day sick",7.5/24,IF($A28="1/2 day sick",3.75/24,""))</f>
        <v/>
      </c>
      <c r="K28" s="33"/>
      <c r="L28" s="4"/>
    </row>
    <row r="29" spans="1:12" x14ac:dyDescent="0.3">
      <c r="A29" s="10"/>
      <c r="B29" s="37" t="str">
        <f t="shared" si="8"/>
        <v/>
      </c>
      <c r="C29" s="10"/>
      <c r="D29" s="41"/>
      <c r="E29" s="43" t="str">
        <f t="shared" si="9"/>
        <v/>
      </c>
      <c r="F29" s="43" t="str">
        <f t="shared" si="10"/>
        <v/>
      </c>
      <c r="G29" s="43" t="str">
        <f t="shared" si="11"/>
        <v/>
      </c>
      <c r="H29" s="43" t="str">
        <f t="shared" si="12"/>
        <v/>
      </c>
      <c r="I29" s="43" t="str">
        <f t="shared" si="13"/>
        <v/>
      </c>
      <c r="J29" s="43" t="str">
        <f t="shared" si="14"/>
        <v/>
      </c>
      <c r="K29" s="33"/>
      <c r="L29" s="4"/>
    </row>
    <row r="30" spans="1:12" x14ac:dyDescent="0.3">
      <c r="A30" s="10"/>
      <c r="B30" s="37" t="str">
        <f t="shared" si="8"/>
        <v/>
      </c>
      <c r="C30" s="10"/>
      <c r="D30" s="41"/>
      <c r="E30" s="43" t="str">
        <f t="shared" si="9"/>
        <v/>
      </c>
      <c r="F30" s="43" t="str">
        <f t="shared" si="10"/>
        <v/>
      </c>
      <c r="G30" s="43" t="str">
        <f t="shared" si="11"/>
        <v/>
      </c>
      <c r="H30" s="43" t="str">
        <f t="shared" si="12"/>
        <v/>
      </c>
      <c r="I30" s="43" t="str">
        <f t="shared" si="13"/>
        <v/>
      </c>
      <c r="J30" s="43" t="str">
        <f t="shared" si="14"/>
        <v/>
      </c>
      <c r="K30" s="33"/>
      <c r="L30" s="4"/>
    </row>
    <row r="31" spans="1:12" x14ac:dyDescent="0.3">
      <c r="A31" s="10"/>
      <c r="B31" s="37" t="str">
        <f t="shared" si="8"/>
        <v/>
      </c>
      <c r="C31" s="10"/>
      <c r="D31" s="41"/>
      <c r="E31" s="43" t="str">
        <f t="shared" si="9"/>
        <v/>
      </c>
      <c r="F31" s="43" t="str">
        <f t="shared" si="10"/>
        <v/>
      </c>
      <c r="G31" s="43" t="str">
        <f t="shared" si="11"/>
        <v/>
      </c>
      <c r="H31" s="43" t="str">
        <f t="shared" si="12"/>
        <v/>
      </c>
      <c r="I31" s="43" t="str">
        <f t="shared" si="13"/>
        <v/>
      </c>
      <c r="J31" s="43" t="str">
        <f t="shared" si="14"/>
        <v/>
      </c>
      <c r="K31" s="33"/>
      <c r="L31" s="4"/>
    </row>
    <row r="32" spans="1:12" x14ac:dyDescent="0.3">
      <c r="A32" s="10"/>
      <c r="B32" s="37" t="str">
        <f t="shared" si="8"/>
        <v/>
      </c>
      <c r="C32" s="10"/>
      <c r="D32" s="41"/>
      <c r="E32" s="43" t="str">
        <f t="shared" si="9"/>
        <v/>
      </c>
      <c r="F32" s="43" t="str">
        <f t="shared" si="10"/>
        <v/>
      </c>
      <c r="G32" s="43" t="str">
        <f t="shared" si="11"/>
        <v/>
      </c>
      <c r="H32" s="43" t="str">
        <f t="shared" si="12"/>
        <v/>
      </c>
      <c r="I32" s="43" t="str">
        <f t="shared" si="13"/>
        <v/>
      </c>
      <c r="J32" s="43" t="str">
        <f t="shared" si="14"/>
        <v/>
      </c>
      <c r="K32" s="33"/>
      <c r="L32" s="4"/>
    </row>
    <row r="33" spans="1:12" x14ac:dyDescent="0.3">
      <c r="A33" s="10"/>
      <c r="B33" s="37" t="str">
        <f t="shared" si="8"/>
        <v/>
      </c>
      <c r="C33" s="10"/>
      <c r="D33" s="41"/>
      <c r="E33" s="43" t="str">
        <f t="shared" si="9"/>
        <v/>
      </c>
      <c r="F33" s="43" t="str">
        <f t="shared" si="10"/>
        <v/>
      </c>
      <c r="G33" s="43" t="str">
        <f t="shared" si="11"/>
        <v/>
      </c>
      <c r="H33" s="43" t="str">
        <f t="shared" si="12"/>
        <v/>
      </c>
      <c r="I33" s="43" t="str">
        <f t="shared" si="13"/>
        <v/>
      </c>
      <c r="J33" s="43" t="str">
        <f t="shared" si="14"/>
        <v/>
      </c>
      <c r="K33" s="33"/>
      <c r="L33" s="4"/>
    </row>
    <row r="34" spans="1:12" x14ac:dyDescent="0.3">
      <c r="A34" s="10"/>
      <c r="B34" s="37" t="str">
        <f t="shared" si="8"/>
        <v/>
      </c>
      <c r="C34" s="10"/>
      <c r="D34" s="41"/>
      <c r="E34" s="43" t="str">
        <f t="shared" si="9"/>
        <v/>
      </c>
      <c r="F34" s="43" t="str">
        <f t="shared" si="10"/>
        <v/>
      </c>
      <c r="G34" s="43" t="str">
        <f t="shared" si="11"/>
        <v/>
      </c>
      <c r="H34" s="43" t="str">
        <f>IF($A34="full day holiday",7.5/24,IF($A34="1/2 day holiday",3.75/24,""))</f>
        <v/>
      </c>
      <c r="I34" s="43" t="str">
        <f t="shared" si="13"/>
        <v/>
      </c>
      <c r="J34" s="43" t="str">
        <f t="shared" si="14"/>
        <v/>
      </c>
      <c r="K34" s="33"/>
      <c r="L34" s="4"/>
    </row>
    <row r="35" spans="1:12" x14ac:dyDescent="0.3">
      <c r="A35" s="10"/>
      <c r="B35" s="37" t="str">
        <f t="shared" si="8"/>
        <v/>
      </c>
      <c r="C35" s="10"/>
      <c r="D35" s="41"/>
      <c r="E35" s="43" t="str">
        <f t="shared" si="9"/>
        <v/>
      </c>
      <c r="F35" s="43" t="str">
        <f t="shared" si="10"/>
        <v/>
      </c>
      <c r="G35" s="43" t="str">
        <f t="shared" si="11"/>
        <v/>
      </c>
      <c r="H35" s="43" t="str">
        <f t="shared" si="12"/>
        <v/>
      </c>
      <c r="I35" s="43" t="str">
        <f t="shared" si="13"/>
        <v/>
      </c>
      <c r="J35" s="43" t="str">
        <f>IF($A35="full day sick",7.5/24,IF($A35="1/2 day sick",3.75/24,""))</f>
        <v/>
      </c>
      <c r="K35" s="33"/>
    </row>
    <row r="36" spans="1:12" x14ac:dyDescent="0.3">
      <c r="A36" s="10"/>
      <c r="B36" s="37" t="str">
        <f t="shared" si="8"/>
        <v/>
      </c>
      <c r="C36" s="10"/>
      <c r="D36" s="41"/>
      <c r="E36" s="43" t="str">
        <f t="shared" si="9"/>
        <v/>
      </c>
      <c r="F36" s="43" t="str">
        <f t="shared" si="10"/>
        <v/>
      </c>
      <c r="G36" s="43" t="str">
        <f t="shared" si="11"/>
        <v/>
      </c>
      <c r="H36" s="43" t="str">
        <f t="shared" si="12"/>
        <v/>
      </c>
      <c r="I36" s="43" t="str">
        <f t="shared" si="13"/>
        <v/>
      </c>
      <c r="J36" s="43" t="str">
        <f t="shared" si="14"/>
        <v/>
      </c>
      <c r="K36" s="33"/>
    </row>
    <row r="37" spans="1:12" x14ac:dyDescent="0.3">
      <c r="A37" s="10"/>
      <c r="B37" s="37" t="str">
        <f t="shared" si="8"/>
        <v/>
      </c>
      <c r="C37" s="10"/>
      <c r="D37" s="41"/>
      <c r="E37" s="43" t="str">
        <f t="shared" si="9"/>
        <v/>
      </c>
      <c r="F37" s="43" t="str">
        <f t="shared" si="10"/>
        <v/>
      </c>
      <c r="G37" s="43" t="str">
        <f t="shared" si="11"/>
        <v/>
      </c>
      <c r="H37" s="43" t="str">
        <f t="shared" si="12"/>
        <v/>
      </c>
      <c r="I37" s="43" t="str">
        <f t="shared" si="13"/>
        <v/>
      </c>
      <c r="J37" s="43" t="str">
        <f t="shared" si="14"/>
        <v/>
      </c>
      <c r="K37" s="33"/>
    </row>
    <row r="38" spans="1:12" x14ac:dyDescent="0.3">
      <c r="A38" s="10"/>
      <c r="B38" s="37" t="str">
        <f t="shared" si="8"/>
        <v/>
      </c>
      <c r="C38" s="10"/>
      <c r="D38" s="41"/>
      <c r="E38" s="43" t="str">
        <f t="shared" si="9"/>
        <v/>
      </c>
      <c r="F38" s="43" t="str">
        <f t="shared" si="10"/>
        <v/>
      </c>
      <c r="G38" s="43" t="str">
        <f t="shared" si="11"/>
        <v/>
      </c>
      <c r="H38" s="43" t="str">
        <f t="shared" si="12"/>
        <v/>
      </c>
      <c r="I38" s="43" t="str">
        <f t="shared" si="13"/>
        <v/>
      </c>
      <c r="J38" s="43" t="str">
        <f t="shared" si="14"/>
        <v/>
      </c>
      <c r="K38" s="33"/>
    </row>
    <row r="39" spans="1:12" x14ac:dyDescent="0.3">
      <c r="A39" s="10"/>
      <c r="B39" s="37" t="str">
        <f t="shared" si="8"/>
        <v/>
      </c>
      <c r="C39" s="10"/>
      <c r="D39" s="41"/>
      <c r="E39" s="43" t="str">
        <f t="shared" si="9"/>
        <v/>
      </c>
      <c r="F39" s="43" t="str">
        <f t="shared" si="10"/>
        <v/>
      </c>
      <c r="G39" s="43" t="str">
        <f t="shared" si="11"/>
        <v/>
      </c>
      <c r="H39" s="43" t="str">
        <f t="shared" si="12"/>
        <v/>
      </c>
      <c r="I39" s="43" t="str">
        <f t="shared" si="13"/>
        <v/>
      </c>
      <c r="J39" s="43" t="str">
        <f t="shared" si="14"/>
        <v/>
      </c>
      <c r="K39" s="33"/>
    </row>
    <row r="40" spans="1:12" x14ac:dyDescent="0.3">
      <c r="A40" s="10"/>
      <c r="B40" s="37" t="str">
        <f t="shared" si="8"/>
        <v/>
      </c>
      <c r="C40" s="10"/>
      <c r="D40" s="41"/>
      <c r="E40" s="43" t="str">
        <f t="shared" si="9"/>
        <v/>
      </c>
      <c r="F40" s="43" t="str">
        <f t="shared" si="10"/>
        <v/>
      </c>
      <c r="G40" s="43" t="str">
        <f t="shared" si="11"/>
        <v/>
      </c>
      <c r="H40" s="43" t="str">
        <f t="shared" si="12"/>
        <v/>
      </c>
      <c r="I40" s="43" t="str">
        <f t="shared" si="13"/>
        <v/>
      </c>
      <c r="J40" s="43" t="str">
        <f t="shared" si="14"/>
        <v/>
      </c>
      <c r="K40" s="33"/>
    </row>
    <row r="41" spans="1:12" x14ac:dyDescent="0.3">
      <c r="A41" s="10"/>
      <c r="B41" s="37" t="str">
        <f t="shared" si="8"/>
        <v/>
      </c>
      <c r="C41" s="10"/>
      <c r="D41" s="41"/>
      <c r="E41" s="43" t="str">
        <f t="shared" si="9"/>
        <v/>
      </c>
      <c r="F41" s="43" t="str">
        <f t="shared" si="10"/>
        <v/>
      </c>
      <c r="G41" s="43" t="str">
        <f t="shared" si="11"/>
        <v/>
      </c>
      <c r="H41" s="43" t="str">
        <f t="shared" si="12"/>
        <v/>
      </c>
      <c r="I41" s="43" t="str">
        <f t="shared" si="13"/>
        <v/>
      </c>
      <c r="J41" s="43" t="str">
        <f t="shared" si="14"/>
        <v/>
      </c>
      <c r="K41" s="33"/>
    </row>
    <row r="42" spans="1:12" x14ac:dyDescent="0.3">
      <c r="A42" s="10"/>
      <c r="B42" s="37" t="str">
        <f t="shared" si="8"/>
        <v/>
      </c>
      <c r="C42" s="10"/>
      <c r="D42" s="41"/>
      <c r="E42" s="43" t="str">
        <f t="shared" si="9"/>
        <v/>
      </c>
      <c r="F42" s="43" t="str">
        <f t="shared" si="10"/>
        <v/>
      </c>
      <c r="G42" s="43" t="str">
        <f t="shared" si="11"/>
        <v/>
      </c>
      <c r="H42" s="43" t="str">
        <f t="shared" si="12"/>
        <v/>
      </c>
      <c r="I42" s="43" t="str">
        <f t="shared" si="13"/>
        <v/>
      </c>
      <c r="J42" s="43" t="str">
        <f t="shared" si="14"/>
        <v/>
      </c>
      <c r="K42" s="33"/>
    </row>
    <row r="43" spans="1:12" x14ac:dyDescent="0.3">
      <c r="A43" s="10"/>
      <c r="B43" s="37" t="str">
        <f t="shared" si="8"/>
        <v/>
      </c>
      <c r="C43" s="10"/>
      <c r="D43" s="41"/>
      <c r="E43" s="43" t="str">
        <f t="shared" si="9"/>
        <v/>
      </c>
      <c r="F43" s="43" t="str">
        <f t="shared" si="10"/>
        <v/>
      </c>
      <c r="G43" s="43" t="str">
        <f t="shared" si="11"/>
        <v/>
      </c>
      <c r="H43" s="43" t="str">
        <f t="shared" si="12"/>
        <v/>
      </c>
      <c r="I43" s="43" t="str">
        <f t="shared" si="13"/>
        <v/>
      </c>
      <c r="J43" s="43" t="str">
        <f t="shared" si="14"/>
        <v/>
      </c>
      <c r="K43" s="33"/>
    </row>
    <row r="44" spans="1:12" x14ac:dyDescent="0.3">
      <c r="A44" s="13" t="s">
        <v>12</v>
      </c>
      <c r="B44" s="13"/>
      <c r="C44" s="13"/>
      <c r="D44" s="44"/>
      <c r="E44" s="45">
        <f>SUM(E25:E43)</f>
        <v>0</v>
      </c>
      <c r="F44" s="45">
        <f>SUM(F25:F43)</f>
        <v>0</v>
      </c>
      <c r="G44" s="45">
        <f>SUM(G25:G43)</f>
        <v>0</v>
      </c>
      <c r="H44" s="45">
        <f>SUM(H25:H43)</f>
        <v>0</v>
      </c>
      <c r="I44" s="45">
        <f t="shared" ref="I44:J44" si="15">SUM(I25:I43)</f>
        <v>0</v>
      </c>
      <c r="J44" s="45">
        <f t="shared" si="15"/>
        <v>0</v>
      </c>
      <c r="K44" s="34"/>
      <c r="L44" s="14"/>
    </row>
    <row r="45" spans="1:12" x14ac:dyDescent="0.3">
      <c r="A45" s="15"/>
      <c r="B45" s="15"/>
      <c r="C45" s="15"/>
      <c r="D45" s="40" t="s">
        <v>11</v>
      </c>
      <c r="E45" s="46"/>
      <c r="F45" s="46"/>
      <c r="G45" s="46"/>
      <c r="H45" s="46"/>
      <c r="I45" s="46"/>
      <c r="J45" s="46"/>
      <c r="K45" s="32"/>
      <c r="L45" s="4"/>
    </row>
    <row r="46" spans="1:12" x14ac:dyDescent="0.3">
      <c r="A46" s="16" t="s">
        <v>9</v>
      </c>
      <c r="B46" s="8"/>
      <c r="C46" s="9"/>
      <c r="D46" s="41">
        <v>0.375</v>
      </c>
      <c r="E46" s="47"/>
      <c r="F46" s="47"/>
      <c r="G46" s="47"/>
      <c r="H46" s="47"/>
      <c r="I46" s="47"/>
      <c r="J46" s="47"/>
      <c r="K46" s="33"/>
      <c r="L46" s="4"/>
    </row>
    <row r="47" spans="1:12" x14ac:dyDescent="0.3">
      <c r="A47" s="10"/>
      <c r="B47" s="37" t="str">
        <f t="shared" ref="B47:B64" si="16">IF(A47="","",INDEX(Number_list,MATCH(A47,Project_list,0)))</f>
        <v/>
      </c>
      <c r="C47" s="10"/>
      <c r="D47" s="41"/>
      <c r="E47" s="43" t="str">
        <f t="shared" ref="E47:E64" si="17">IF($A47="","",IF(LEFT(INDEX(Number_list,MATCH($A47,Project_list,0)),2)="20",$D47-$D46,""))</f>
        <v/>
      </c>
      <c r="F47" s="43" t="str">
        <f t="shared" ref="F47:F64" si="18">IF($A47="","",IF(LEFT(INDEX(Number_list,MATCH($A47,Project_list,0)),2)="NC",$D47-$D46,""))</f>
        <v/>
      </c>
      <c r="G47" s="43" t="str">
        <f t="shared" ref="G47:G64" si="19">IF($A47="","",IF(LEFT(INDEX(Number_list,MATCH($A47,Project_list,0)),5)="admin",$D47-$D46,""))</f>
        <v/>
      </c>
      <c r="H47" s="43" t="str">
        <f>IF($A47="full day holiday",7.5/24,IF($A47="1/2 day holiday",3.75/24,""))</f>
        <v/>
      </c>
      <c r="I47" s="43" t="str">
        <f>IF($A47="bank holiday",7.5/24,"")</f>
        <v/>
      </c>
      <c r="J47" s="43" t="str">
        <f>IF($A47="full day sick",7.5/24,IF($A47="1/2 day sick",3.75/24,""))</f>
        <v/>
      </c>
      <c r="K47" s="33"/>
      <c r="L47" s="4"/>
    </row>
    <row r="48" spans="1:12" x14ac:dyDescent="0.3">
      <c r="A48" s="10"/>
      <c r="B48" s="37" t="str">
        <f t="shared" si="16"/>
        <v/>
      </c>
      <c r="C48" s="10"/>
      <c r="D48" s="41"/>
      <c r="E48" s="43" t="str">
        <f t="shared" si="17"/>
        <v/>
      </c>
      <c r="F48" s="43" t="str">
        <f t="shared" si="18"/>
        <v/>
      </c>
      <c r="G48" s="43" t="str">
        <f t="shared" si="19"/>
        <v/>
      </c>
      <c r="H48" s="43" t="str">
        <f t="shared" ref="H48:H64" si="20">IF($A48="full day holiday",7.5/24,IF($A48="1/2 day holiday",3.75/24,""))</f>
        <v/>
      </c>
      <c r="I48" s="43" t="str">
        <f t="shared" ref="I48:I64" si="21">IF($A48="bank holiday",7.5/24,"")</f>
        <v/>
      </c>
      <c r="J48" s="43" t="str">
        <f>IF($A48="full day sick",7.5/24,IF($A48="1/2 day sick",3.75/24,""))</f>
        <v/>
      </c>
      <c r="K48" s="33"/>
      <c r="L48" s="4"/>
    </row>
    <row r="49" spans="1:12" x14ac:dyDescent="0.3">
      <c r="A49" s="10"/>
      <c r="B49" s="37" t="str">
        <f t="shared" si="16"/>
        <v/>
      </c>
      <c r="C49" s="10"/>
      <c r="D49" s="41"/>
      <c r="E49" s="43" t="str">
        <f t="shared" si="17"/>
        <v/>
      </c>
      <c r="F49" s="43" t="str">
        <f t="shared" si="18"/>
        <v/>
      </c>
      <c r="G49" s="43" t="str">
        <f t="shared" si="19"/>
        <v/>
      </c>
      <c r="H49" s="43" t="str">
        <f t="shared" si="20"/>
        <v/>
      </c>
      <c r="I49" s="43" t="str">
        <f t="shared" si="21"/>
        <v/>
      </c>
      <c r="J49" s="43" t="str">
        <f t="shared" ref="J49:J64" si="22">IF($A49="full day sick",7.5/24,IF($A49="1/2 day sick",3.75/24,""))</f>
        <v/>
      </c>
      <c r="K49" s="33"/>
      <c r="L49" s="4"/>
    </row>
    <row r="50" spans="1:12" x14ac:dyDescent="0.3">
      <c r="A50" s="10"/>
      <c r="B50" s="37" t="str">
        <f t="shared" si="16"/>
        <v/>
      </c>
      <c r="C50" s="10"/>
      <c r="D50" s="41"/>
      <c r="E50" s="43" t="str">
        <f t="shared" si="17"/>
        <v/>
      </c>
      <c r="F50" s="43" t="str">
        <f t="shared" si="18"/>
        <v/>
      </c>
      <c r="G50" s="43" t="str">
        <f t="shared" si="19"/>
        <v/>
      </c>
      <c r="H50" s="43" t="str">
        <f t="shared" si="20"/>
        <v/>
      </c>
      <c r="I50" s="43" t="str">
        <f t="shared" si="21"/>
        <v/>
      </c>
      <c r="J50" s="43" t="str">
        <f t="shared" si="22"/>
        <v/>
      </c>
      <c r="K50" s="33"/>
      <c r="L50" s="4"/>
    </row>
    <row r="51" spans="1:12" x14ac:dyDescent="0.3">
      <c r="A51" s="10"/>
      <c r="B51" s="37" t="str">
        <f t="shared" si="16"/>
        <v/>
      </c>
      <c r="C51" s="10"/>
      <c r="D51" s="41"/>
      <c r="E51" s="43" t="str">
        <f t="shared" si="17"/>
        <v/>
      </c>
      <c r="F51" s="43" t="str">
        <f t="shared" si="18"/>
        <v/>
      </c>
      <c r="G51" s="43" t="str">
        <f t="shared" si="19"/>
        <v/>
      </c>
      <c r="H51" s="43" t="str">
        <f t="shared" si="20"/>
        <v/>
      </c>
      <c r="I51" s="43" t="str">
        <f t="shared" si="21"/>
        <v/>
      </c>
      <c r="J51" s="43" t="str">
        <f t="shared" si="22"/>
        <v/>
      </c>
      <c r="K51" s="33"/>
      <c r="L51" s="4"/>
    </row>
    <row r="52" spans="1:12" x14ac:dyDescent="0.3">
      <c r="A52" s="10"/>
      <c r="B52" s="37" t="str">
        <f t="shared" si="16"/>
        <v/>
      </c>
      <c r="C52" s="10"/>
      <c r="D52" s="41"/>
      <c r="E52" s="43" t="str">
        <f t="shared" si="17"/>
        <v/>
      </c>
      <c r="F52" s="43" t="str">
        <f t="shared" si="18"/>
        <v/>
      </c>
      <c r="G52" s="43" t="str">
        <f t="shared" si="19"/>
        <v/>
      </c>
      <c r="H52" s="43" t="str">
        <f t="shared" si="20"/>
        <v/>
      </c>
      <c r="I52" s="43" t="str">
        <f t="shared" si="21"/>
        <v/>
      </c>
      <c r="J52" s="43" t="str">
        <f t="shared" si="22"/>
        <v/>
      </c>
      <c r="K52" s="33"/>
      <c r="L52" s="4"/>
    </row>
    <row r="53" spans="1:12" x14ac:dyDescent="0.3">
      <c r="A53" s="10"/>
      <c r="B53" s="37" t="str">
        <f t="shared" si="16"/>
        <v/>
      </c>
      <c r="C53" s="10"/>
      <c r="D53" s="41"/>
      <c r="E53" s="43" t="str">
        <f t="shared" si="17"/>
        <v/>
      </c>
      <c r="F53" s="43" t="str">
        <f t="shared" si="18"/>
        <v/>
      </c>
      <c r="G53" s="43" t="str">
        <f t="shared" si="19"/>
        <v/>
      </c>
      <c r="H53" s="43" t="str">
        <f t="shared" si="20"/>
        <v/>
      </c>
      <c r="I53" s="43" t="str">
        <f t="shared" si="21"/>
        <v/>
      </c>
      <c r="J53" s="43" t="str">
        <f t="shared" si="22"/>
        <v/>
      </c>
      <c r="K53" s="33"/>
      <c r="L53" s="4"/>
    </row>
    <row r="54" spans="1:12" x14ac:dyDescent="0.3">
      <c r="A54" s="10"/>
      <c r="B54" s="37" t="str">
        <f t="shared" si="16"/>
        <v/>
      </c>
      <c r="C54" s="10"/>
      <c r="D54" s="41"/>
      <c r="E54" s="43" t="str">
        <f t="shared" si="17"/>
        <v/>
      </c>
      <c r="F54" s="43" t="str">
        <f t="shared" si="18"/>
        <v/>
      </c>
      <c r="G54" s="43" t="str">
        <f t="shared" si="19"/>
        <v/>
      </c>
      <c r="H54" s="43" t="str">
        <f t="shared" si="20"/>
        <v/>
      </c>
      <c r="I54" s="43" t="str">
        <f t="shared" si="21"/>
        <v/>
      </c>
      <c r="J54" s="43" t="str">
        <f t="shared" si="22"/>
        <v/>
      </c>
      <c r="K54" s="33"/>
    </row>
    <row r="55" spans="1:12" x14ac:dyDescent="0.3">
      <c r="A55" s="10"/>
      <c r="B55" s="37" t="str">
        <f t="shared" si="16"/>
        <v/>
      </c>
      <c r="C55" s="10"/>
      <c r="D55" s="41"/>
      <c r="E55" s="43" t="str">
        <f t="shared" si="17"/>
        <v/>
      </c>
      <c r="F55" s="43" t="str">
        <f t="shared" si="18"/>
        <v/>
      </c>
      <c r="G55" s="43" t="str">
        <f t="shared" si="19"/>
        <v/>
      </c>
      <c r="H55" s="43" t="str">
        <f>IF($A55="full day holiday",7.5/24,IF($A55="1/2 day holiday",3.75/24,""))</f>
        <v/>
      </c>
      <c r="I55" s="43" t="str">
        <f t="shared" si="21"/>
        <v/>
      </c>
      <c r="J55" s="43" t="str">
        <f t="shared" si="22"/>
        <v/>
      </c>
      <c r="K55" s="33"/>
    </row>
    <row r="56" spans="1:12" x14ac:dyDescent="0.3">
      <c r="A56" s="10"/>
      <c r="B56" s="37" t="str">
        <f t="shared" si="16"/>
        <v/>
      </c>
      <c r="C56" s="10"/>
      <c r="D56" s="41"/>
      <c r="E56" s="43" t="str">
        <f t="shared" si="17"/>
        <v/>
      </c>
      <c r="F56" s="43" t="str">
        <f t="shared" si="18"/>
        <v/>
      </c>
      <c r="G56" s="43" t="str">
        <f t="shared" si="19"/>
        <v/>
      </c>
      <c r="H56" s="43" t="str">
        <f t="shared" si="20"/>
        <v/>
      </c>
      <c r="I56" s="43" t="str">
        <f t="shared" si="21"/>
        <v/>
      </c>
      <c r="J56" s="43" t="str">
        <f>IF($A56="full day sick",7.5/24,IF($A56="1/2 day sick",3.75/24,""))</f>
        <v/>
      </c>
      <c r="K56" s="33"/>
    </row>
    <row r="57" spans="1:12" x14ac:dyDescent="0.3">
      <c r="A57" s="10"/>
      <c r="B57" s="37" t="str">
        <f t="shared" si="16"/>
        <v/>
      </c>
      <c r="C57" s="10"/>
      <c r="D57" s="41"/>
      <c r="E57" s="43" t="str">
        <f t="shared" si="17"/>
        <v/>
      </c>
      <c r="F57" s="43" t="str">
        <f t="shared" si="18"/>
        <v/>
      </c>
      <c r="G57" s="43" t="str">
        <f t="shared" si="19"/>
        <v/>
      </c>
      <c r="H57" s="43" t="str">
        <f t="shared" si="20"/>
        <v/>
      </c>
      <c r="I57" s="43" t="str">
        <f t="shared" si="21"/>
        <v/>
      </c>
      <c r="J57" s="43" t="str">
        <f t="shared" si="22"/>
        <v/>
      </c>
      <c r="K57" s="33"/>
    </row>
    <row r="58" spans="1:12" x14ac:dyDescent="0.3">
      <c r="A58" s="10"/>
      <c r="B58" s="37" t="str">
        <f t="shared" si="16"/>
        <v/>
      </c>
      <c r="C58" s="10"/>
      <c r="D58" s="41"/>
      <c r="E58" s="43" t="str">
        <f t="shared" si="17"/>
        <v/>
      </c>
      <c r="F58" s="43" t="str">
        <f t="shared" si="18"/>
        <v/>
      </c>
      <c r="G58" s="43" t="str">
        <f t="shared" si="19"/>
        <v/>
      </c>
      <c r="H58" s="43" t="str">
        <f t="shared" si="20"/>
        <v/>
      </c>
      <c r="I58" s="43" t="str">
        <f t="shared" si="21"/>
        <v/>
      </c>
      <c r="J58" s="43" t="str">
        <f t="shared" si="22"/>
        <v/>
      </c>
      <c r="K58" s="33"/>
    </row>
    <row r="59" spans="1:12" x14ac:dyDescent="0.3">
      <c r="A59" s="10"/>
      <c r="B59" s="37" t="str">
        <f t="shared" si="16"/>
        <v/>
      </c>
      <c r="C59" s="10"/>
      <c r="D59" s="41"/>
      <c r="E59" s="43" t="str">
        <f t="shared" si="17"/>
        <v/>
      </c>
      <c r="F59" s="43" t="str">
        <f t="shared" si="18"/>
        <v/>
      </c>
      <c r="G59" s="43" t="str">
        <f t="shared" si="19"/>
        <v/>
      </c>
      <c r="H59" s="43" t="str">
        <f t="shared" si="20"/>
        <v/>
      </c>
      <c r="I59" s="43" t="str">
        <f t="shared" si="21"/>
        <v/>
      </c>
      <c r="J59" s="43" t="str">
        <f t="shared" si="22"/>
        <v/>
      </c>
      <c r="K59" s="33"/>
    </row>
    <row r="60" spans="1:12" x14ac:dyDescent="0.3">
      <c r="A60" s="10"/>
      <c r="B60" s="37" t="str">
        <f t="shared" si="16"/>
        <v/>
      </c>
      <c r="C60" s="10"/>
      <c r="D60" s="41"/>
      <c r="E60" s="43" t="str">
        <f t="shared" si="17"/>
        <v/>
      </c>
      <c r="F60" s="43" t="str">
        <f t="shared" si="18"/>
        <v/>
      </c>
      <c r="G60" s="43" t="str">
        <f t="shared" si="19"/>
        <v/>
      </c>
      <c r="H60" s="43" t="str">
        <f t="shared" si="20"/>
        <v/>
      </c>
      <c r="I60" s="43" t="str">
        <f t="shared" si="21"/>
        <v/>
      </c>
      <c r="J60" s="43" t="str">
        <f t="shared" si="22"/>
        <v/>
      </c>
      <c r="K60" s="33"/>
    </row>
    <row r="61" spans="1:12" x14ac:dyDescent="0.3">
      <c r="A61" s="10"/>
      <c r="B61" s="37" t="str">
        <f t="shared" si="16"/>
        <v/>
      </c>
      <c r="C61" s="10"/>
      <c r="D61" s="41"/>
      <c r="E61" s="43" t="str">
        <f t="shared" si="17"/>
        <v/>
      </c>
      <c r="F61" s="43" t="str">
        <f t="shared" si="18"/>
        <v/>
      </c>
      <c r="G61" s="43" t="str">
        <f t="shared" si="19"/>
        <v/>
      </c>
      <c r="H61" s="43" t="str">
        <f t="shared" si="20"/>
        <v/>
      </c>
      <c r="I61" s="43" t="str">
        <f t="shared" si="21"/>
        <v/>
      </c>
      <c r="J61" s="43" t="str">
        <f t="shared" si="22"/>
        <v/>
      </c>
      <c r="K61" s="33"/>
    </row>
    <row r="62" spans="1:12" x14ac:dyDescent="0.3">
      <c r="A62" s="10"/>
      <c r="B62" s="37" t="str">
        <f t="shared" si="16"/>
        <v/>
      </c>
      <c r="C62" s="10"/>
      <c r="D62" s="41"/>
      <c r="E62" s="43" t="str">
        <f t="shared" si="17"/>
        <v/>
      </c>
      <c r="F62" s="43" t="str">
        <f t="shared" si="18"/>
        <v/>
      </c>
      <c r="G62" s="43" t="str">
        <f t="shared" si="19"/>
        <v/>
      </c>
      <c r="H62" s="43" t="str">
        <f t="shared" si="20"/>
        <v/>
      </c>
      <c r="I62" s="43" t="str">
        <f t="shared" si="21"/>
        <v/>
      </c>
      <c r="J62" s="43" t="str">
        <f t="shared" si="22"/>
        <v/>
      </c>
      <c r="K62" s="33"/>
    </row>
    <row r="63" spans="1:12" x14ac:dyDescent="0.3">
      <c r="A63" s="10"/>
      <c r="B63" s="37" t="str">
        <f t="shared" si="16"/>
        <v/>
      </c>
      <c r="C63" s="10"/>
      <c r="D63" s="41"/>
      <c r="E63" s="43" t="str">
        <f t="shared" si="17"/>
        <v/>
      </c>
      <c r="F63" s="43" t="str">
        <f t="shared" si="18"/>
        <v/>
      </c>
      <c r="G63" s="43" t="str">
        <f t="shared" si="19"/>
        <v/>
      </c>
      <c r="H63" s="43" t="str">
        <f t="shared" si="20"/>
        <v/>
      </c>
      <c r="I63" s="43" t="str">
        <f t="shared" si="21"/>
        <v/>
      </c>
      <c r="J63" s="43" t="str">
        <f t="shared" si="22"/>
        <v/>
      </c>
      <c r="K63" s="33"/>
    </row>
    <row r="64" spans="1:12" x14ac:dyDescent="0.3">
      <c r="A64" s="10"/>
      <c r="B64" s="37" t="str">
        <f t="shared" si="16"/>
        <v/>
      </c>
      <c r="C64" s="10"/>
      <c r="D64" s="41"/>
      <c r="E64" s="43" t="str">
        <f t="shared" si="17"/>
        <v/>
      </c>
      <c r="F64" s="43" t="str">
        <f t="shared" si="18"/>
        <v/>
      </c>
      <c r="G64" s="43" t="str">
        <f t="shared" si="19"/>
        <v/>
      </c>
      <c r="H64" s="43" t="str">
        <f t="shared" si="20"/>
        <v/>
      </c>
      <c r="I64" s="43" t="str">
        <f t="shared" si="21"/>
        <v/>
      </c>
      <c r="J64" s="43" t="str">
        <f t="shared" si="22"/>
        <v/>
      </c>
      <c r="K64" s="33"/>
    </row>
    <row r="65" spans="1:12" x14ac:dyDescent="0.3">
      <c r="A65" s="13" t="s">
        <v>12</v>
      </c>
      <c r="B65" s="13"/>
      <c r="C65" s="13"/>
      <c r="D65" s="44"/>
      <c r="E65" s="45">
        <f>SUM(E46:E64)</f>
        <v>0</v>
      </c>
      <c r="F65" s="45">
        <f>SUM(F46:F64)</f>
        <v>0</v>
      </c>
      <c r="G65" s="45">
        <f>SUM(G46:G64)</f>
        <v>0</v>
      </c>
      <c r="H65" s="45">
        <f>SUM(H46:H64)</f>
        <v>0</v>
      </c>
      <c r="I65" s="45">
        <f t="shared" ref="I65:J65" si="23">SUM(I46:I64)</f>
        <v>0</v>
      </c>
      <c r="J65" s="45">
        <f t="shared" si="23"/>
        <v>0</v>
      </c>
      <c r="K65" s="34"/>
      <c r="L65" s="14"/>
    </row>
    <row r="66" spans="1:12" x14ac:dyDescent="0.3">
      <c r="A66" s="15"/>
      <c r="B66" s="15"/>
      <c r="C66" s="15"/>
      <c r="D66" s="40" t="s">
        <v>13</v>
      </c>
      <c r="E66" s="46"/>
      <c r="F66" s="46"/>
      <c r="G66" s="46"/>
      <c r="H66" s="46"/>
      <c r="I66" s="46"/>
      <c r="J66" s="46"/>
      <c r="K66" s="32"/>
      <c r="L66" s="4"/>
    </row>
    <row r="67" spans="1:12" x14ac:dyDescent="0.3">
      <c r="A67" s="16" t="s">
        <v>9</v>
      </c>
      <c r="B67" s="8"/>
      <c r="C67" s="9"/>
      <c r="D67" s="41">
        <v>0.375</v>
      </c>
      <c r="E67" s="47"/>
      <c r="F67" s="47"/>
      <c r="G67" s="47"/>
      <c r="H67" s="47"/>
      <c r="I67" s="47"/>
      <c r="J67" s="47"/>
      <c r="K67" s="33"/>
      <c r="L67" s="4"/>
    </row>
    <row r="68" spans="1:12" x14ac:dyDescent="0.3">
      <c r="A68" s="10"/>
      <c r="B68" s="37" t="str">
        <f t="shared" ref="B68:B85" si="24">IF(A68="","",INDEX(Number_list,MATCH(A68,Project_list,0)))</f>
        <v/>
      </c>
      <c r="C68" s="10"/>
      <c r="D68" s="41"/>
      <c r="E68" s="43" t="str">
        <f t="shared" ref="E68:E85" si="25">IF($A68="","",IF(LEFT(INDEX(Number_list,MATCH($A68,Project_list,0)),2)="20",$D68-$D67,""))</f>
        <v/>
      </c>
      <c r="F68" s="43" t="str">
        <f t="shared" ref="F68:F85" si="26">IF($A68="","",IF(LEFT(INDEX(Number_list,MATCH($A68,Project_list,0)),2)="NC",$D68-$D67,""))</f>
        <v/>
      </c>
      <c r="G68" s="43" t="str">
        <f t="shared" ref="G68:G85" si="27">IF($A68="","",IF(LEFT(INDEX(Number_list,MATCH($A68,Project_list,0)),5)="admin",$D68-$D67,""))</f>
        <v/>
      </c>
      <c r="H68" s="43" t="str">
        <f>IF($A68="full day holiday",7.5/24,IF($A68="1/2 day holiday",3.75/24,""))</f>
        <v/>
      </c>
      <c r="I68" s="43" t="str">
        <f>IF($A68="bank holiday",7.5/24,"")</f>
        <v/>
      </c>
      <c r="J68" s="43" t="str">
        <f>IF($A68="full day sick",7.5/24,IF($A68="1/2 day sick",3.75/24,""))</f>
        <v/>
      </c>
      <c r="K68" s="33"/>
      <c r="L68" s="4"/>
    </row>
    <row r="69" spans="1:12" x14ac:dyDescent="0.3">
      <c r="A69" s="10"/>
      <c r="B69" s="37" t="str">
        <f t="shared" si="24"/>
        <v/>
      </c>
      <c r="C69" s="10"/>
      <c r="D69" s="41"/>
      <c r="E69" s="43" t="str">
        <f t="shared" si="25"/>
        <v/>
      </c>
      <c r="F69" s="43" t="str">
        <f t="shared" si="26"/>
        <v/>
      </c>
      <c r="G69" s="43" t="str">
        <f t="shared" si="27"/>
        <v/>
      </c>
      <c r="H69" s="43" t="str">
        <f t="shared" ref="H69:H85" si="28">IF($A69="full day holiday",7.5/24,IF($A69="1/2 day holiday",3.75/24,""))</f>
        <v/>
      </c>
      <c r="I69" s="43" t="str">
        <f t="shared" ref="I69:I85" si="29">IF($A69="bank holiday",7.5/24,"")</f>
        <v/>
      </c>
      <c r="J69" s="43" t="str">
        <f>IF($A69="full day sick",7.5/24,IF($A69="1/2 day sick",3.75/24,""))</f>
        <v/>
      </c>
      <c r="K69" s="33"/>
    </row>
    <row r="70" spans="1:12" x14ac:dyDescent="0.3">
      <c r="A70" s="10"/>
      <c r="B70" s="37" t="str">
        <f t="shared" si="24"/>
        <v/>
      </c>
      <c r="C70" s="10"/>
      <c r="D70" s="41"/>
      <c r="E70" s="43" t="str">
        <f t="shared" si="25"/>
        <v/>
      </c>
      <c r="F70" s="43" t="str">
        <f t="shared" si="26"/>
        <v/>
      </c>
      <c r="G70" s="43" t="str">
        <f t="shared" si="27"/>
        <v/>
      </c>
      <c r="H70" s="43" t="str">
        <f t="shared" si="28"/>
        <v/>
      </c>
      <c r="I70" s="43" t="str">
        <f t="shared" si="29"/>
        <v/>
      </c>
      <c r="J70" s="43" t="str">
        <f t="shared" ref="J70:J85" si="30">IF($A70="full day sick",7.5/24,IF($A70="1/2 day sick",3.75/24,""))</f>
        <v/>
      </c>
      <c r="K70" s="33"/>
    </row>
    <row r="71" spans="1:12" x14ac:dyDescent="0.3">
      <c r="A71" s="10"/>
      <c r="B71" s="37" t="str">
        <f t="shared" si="24"/>
        <v/>
      </c>
      <c r="C71" s="10"/>
      <c r="D71" s="41"/>
      <c r="E71" s="43" t="str">
        <f t="shared" si="25"/>
        <v/>
      </c>
      <c r="F71" s="43" t="str">
        <f t="shared" si="26"/>
        <v/>
      </c>
      <c r="G71" s="43" t="str">
        <f t="shared" si="27"/>
        <v/>
      </c>
      <c r="H71" s="43" t="str">
        <f t="shared" si="28"/>
        <v/>
      </c>
      <c r="I71" s="43" t="str">
        <f t="shared" si="29"/>
        <v/>
      </c>
      <c r="J71" s="43" t="str">
        <f t="shared" si="30"/>
        <v/>
      </c>
      <c r="K71" s="33"/>
    </row>
    <row r="72" spans="1:12" x14ac:dyDescent="0.3">
      <c r="A72" s="10"/>
      <c r="B72" s="37" t="str">
        <f t="shared" si="24"/>
        <v/>
      </c>
      <c r="C72" s="10"/>
      <c r="D72" s="41"/>
      <c r="E72" s="43" t="str">
        <f t="shared" si="25"/>
        <v/>
      </c>
      <c r="F72" s="43" t="str">
        <f t="shared" si="26"/>
        <v/>
      </c>
      <c r="G72" s="43" t="str">
        <f t="shared" si="27"/>
        <v/>
      </c>
      <c r="H72" s="43" t="str">
        <f t="shared" si="28"/>
        <v/>
      </c>
      <c r="I72" s="43" t="str">
        <f t="shared" si="29"/>
        <v/>
      </c>
      <c r="J72" s="43" t="str">
        <f t="shared" si="30"/>
        <v/>
      </c>
      <c r="K72" s="33"/>
    </row>
    <row r="73" spans="1:12" x14ac:dyDescent="0.3">
      <c r="A73" s="10"/>
      <c r="B73" s="37" t="str">
        <f t="shared" si="24"/>
        <v/>
      </c>
      <c r="C73" s="10"/>
      <c r="D73" s="41"/>
      <c r="E73" s="43" t="str">
        <f t="shared" si="25"/>
        <v/>
      </c>
      <c r="F73" s="43" t="str">
        <f t="shared" si="26"/>
        <v/>
      </c>
      <c r="G73" s="43" t="str">
        <f t="shared" si="27"/>
        <v/>
      </c>
      <c r="H73" s="43" t="str">
        <f t="shared" si="28"/>
        <v/>
      </c>
      <c r="I73" s="43" t="str">
        <f t="shared" si="29"/>
        <v/>
      </c>
      <c r="J73" s="43" t="str">
        <f t="shared" si="30"/>
        <v/>
      </c>
      <c r="K73" s="33"/>
    </row>
    <row r="74" spans="1:12" x14ac:dyDescent="0.3">
      <c r="A74" s="10"/>
      <c r="B74" s="37" t="str">
        <f t="shared" si="24"/>
        <v/>
      </c>
      <c r="C74" s="10"/>
      <c r="D74" s="41"/>
      <c r="E74" s="43" t="str">
        <f t="shared" si="25"/>
        <v/>
      </c>
      <c r="F74" s="43" t="str">
        <f t="shared" si="26"/>
        <v/>
      </c>
      <c r="G74" s="43" t="str">
        <f t="shared" si="27"/>
        <v/>
      </c>
      <c r="H74" s="43" t="str">
        <f t="shared" si="28"/>
        <v/>
      </c>
      <c r="I74" s="43" t="str">
        <f t="shared" si="29"/>
        <v/>
      </c>
      <c r="J74" s="43" t="str">
        <f t="shared" si="30"/>
        <v/>
      </c>
      <c r="K74" s="33"/>
    </row>
    <row r="75" spans="1:12" x14ac:dyDescent="0.3">
      <c r="A75" s="10"/>
      <c r="B75" s="37" t="str">
        <f t="shared" si="24"/>
        <v/>
      </c>
      <c r="C75" s="10"/>
      <c r="D75" s="41"/>
      <c r="E75" s="43" t="str">
        <f t="shared" si="25"/>
        <v/>
      </c>
      <c r="F75" s="43" t="str">
        <f t="shared" si="26"/>
        <v/>
      </c>
      <c r="G75" s="43" t="str">
        <f t="shared" si="27"/>
        <v/>
      </c>
      <c r="H75" s="43" t="str">
        <f t="shared" si="28"/>
        <v/>
      </c>
      <c r="I75" s="43" t="str">
        <f t="shared" si="29"/>
        <v/>
      </c>
      <c r="J75" s="43" t="str">
        <f t="shared" si="30"/>
        <v/>
      </c>
      <c r="K75" s="33"/>
    </row>
    <row r="76" spans="1:12" x14ac:dyDescent="0.3">
      <c r="A76" s="10"/>
      <c r="B76" s="37" t="str">
        <f t="shared" si="24"/>
        <v/>
      </c>
      <c r="C76" s="10"/>
      <c r="D76" s="41"/>
      <c r="E76" s="43" t="str">
        <f t="shared" si="25"/>
        <v/>
      </c>
      <c r="F76" s="43" t="str">
        <f t="shared" si="26"/>
        <v/>
      </c>
      <c r="G76" s="43" t="str">
        <f t="shared" si="27"/>
        <v/>
      </c>
      <c r="H76" s="43" t="str">
        <f>IF($A76="full day holiday",7.5/24,IF($A76="1/2 day holiday",3.75/24,""))</f>
        <v/>
      </c>
      <c r="I76" s="43" t="str">
        <f t="shared" si="29"/>
        <v/>
      </c>
      <c r="J76" s="43" t="str">
        <f t="shared" si="30"/>
        <v/>
      </c>
      <c r="K76" s="33"/>
    </row>
    <row r="77" spans="1:12" x14ac:dyDescent="0.3">
      <c r="A77" s="10"/>
      <c r="B77" s="37" t="str">
        <f t="shared" si="24"/>
        <v/>
      </c>
      <c r="C77" s="10"/>
      <c r="D77" s="41"/>
      <c r="E77" s="43" t="str">
        <f t="shared" si="25"/>
        <v/>
      </c>
      <c r="F77" s="43" t="str">
        <f t="shared" si="26"/>
        <v/>
      </c>
      <c r="G77" s="43" t="str">
        <f t="shared" si="27"/>
        <v/>
      </c>
      <c r="H77" s="43" t="str">
        <f t="shared" si="28"/>
        <v/>
      </c>
      <c r="I77" s="43" t="str">
        <f t="shared" si="29"/>
        <v/>
      </c>
      <c r="J77" s="43" t="str">
        <f>IF($A77="full day sick",7.5/24,IF($A77="1/2 day sick",3.75/24,""))</f>
        <v/>
      </c>
      <c r="K77" s="33"/>
    </row>
    <row r="78" spans="1:12" x14ac:dyDescent="0.3">
      <c r="A78" s="10"/>
      <c r="B78" s="37" t="str">
        <f t="shared" si="24"/>
        <v/>
      </c>
      <c r="C78" s="10"/>
      <c r="D78" s="41"/>
      <c r="E78" s="43" t="str">
        <f t="shared" si="25"/>
        <v/>
      </c>
      <c r="F78" s="43" t="str">
        <f t="shared" si="26"/>
        <v/>
      </c>
      <c r="G78" s="43" t="str">
        <f t="shared" si="27"/>
        <v/>
      </c>
      <c r="H78" s="43" t="str">
        <f t="shared" si="28"/>
        <v/>
      </c>
      <c r="I78" s="43" t="str">
        <f t="shared" si="29"/>
        <v/>
      </c>
      <c r="J78" s="43" t="str">
        <f t="shared" si="30"/>
        <v/>
      </c>
      <c r="K78" s="33"/>
    </row>
    <row r="79" spans="1:12" x14ac:dyDescent="0.3">
      <c r="A79" s="10"/>
      <c r="B79" s="37" t="str">
        <f t="shared" si="24"/>
        <v/>
      </c>
      <c r="C79" s="10"/>
      <c r="D79" s="41"/>
      <c r="E79" s="43" t="str">
        <f t="shared" si="25"/>
        <v/>
      </c>
      <c r="F79" s="43" t="str">
        <f t="shared" si="26"/>
        <v/>
      </c>
      <c r="G79" s="43" t="str">
        <f t="shared" si="27"/>
        <v/>
      </c>
      <c r="H79" s="43" t="str">
        <f t="shared" si="28"/>
        <v/>
      </c>
      <c r="I79" s="43" t="str">
        <f t="shared" si="29"/>
        <v/>
      </c>
      <c r="J79" s="43" t="str">
        <f t="shared" si="30"/>
        <v/>
      </c>
      <c r="K79" s="33"/>
    </row>
    <row r="80" spans="1:12" x14ac:dyDescent="0.3">
      <c r="A80" s="10"/>
      <c r="B80" s="37" t="str">
        <f t="shared" si="24"/>
        <v/>
      </c>
      <c r="C80" s="10"/>
      <c r="D80" s="41"/>
      <c r="E80" s="43" t="str">
        <f t="shared" si="25"/>
        <v/>
      </c>
      <c r="F80" s="43" t="str">
        <f t="shared" si="26"/>
        <v/>
      </c>
      <c r="G80" s="43" t="str">
        <f t="shared" si="27"/>
        <v/>
      </c>
      <c r="H80" s="43" t="str">
        <f t="shared" si="28"/>
        <v/>
      </c>
      <c r="I80" s="43" t="str">
        <f t="shared" si="29"/>
        <v/>
      </c>
      <c r="J80" s="43" t="str">
        <f t="shared" si="30"/>
        <v/>
      </c>
      <c r="K80" s="33"/>
    </row>
    <row r="81" spans="1:12" x14ac:dyDescent="0.3">
      <c r="A81" s="10"/>
      <c r="B81" s="37" t="str">
        <f t="shared" si="24"/>
        <v/>
      </c>
      <c r="C81" s="10"/>
      <c r="D81" s="41"/>
      <c r="E81" s="43" t="str">
        <f t="shared" si="25"/>
        <v/>
      </c>
      <c r="F81" s="43" t="str">
        <f t="shared" si="26"/>
        <v/>
      </c>
      <c r="G81" s="43" t="str">
        <f t="shared" si="27"/>
        <v/>
      </c>
      <c r="H81" s="43" t="str">
        <f t="shared" si="28"/>
        <v/>
      </c>
      <c r="I81" s="43" t="str">
        <f t="shared" si="29"/>
        <v/>
      </c>
      <c r="J81" s="43" t="str">
        <f t="shared" si="30"/>
        <v/>
      </c>
      <c r="K81" s="33"/>
    </row>
    <row r="82" spans="1:12" x14ac:dyDescent="0.3">
      <c r="A82" s="10"/>
      <c r="B82" s="37" t="str">
        <f t="shared" si="24"/>
        <v/>
      </c>
      <c r="C82" s="10"/>
      <c r="D82" s="41"/>
      <c r="E82" s="43" t="str">
        <f t="shared" si="25"/>
        <v/>
      </c>
      <c r="F82" s="43" t="str">
        <f t="shared" si="26"/>
        <v/>
      </c>
      <c r="G82" s="43" t="str">
        <f t="shared" si="27"/>
        <v/>
      </c>
      <c r="H82" s="43" t="str">
        <f t="shared" si="28"/>
        <v/>
      </c>
      <c r="I82" s="43" t="str">
        <f t="shared" si="29"/>
        <v/>
      </c>
      <c r="J82" s="43" t="str">
        <f t="shared" si="30"/>
        <v/>
      </c>
      <c r="K82" s="33"/>
    </row>
    <row r="83" spans="1:12" x14ac:dyDescent="0.3">
      <c r="A83" s="10"/>
      <c r="B83" s="37" t="str">
        <f t="shared" si="24"/>
        <v/>
      </c>
      <c r="C83" s="10"/>
      <c r="D83" s="41"/>
      <c r="E83" s="43" t="str">
        <f t="shared" si="25"/>
        <v/>
      </c>
      <c r="F83" s="43" t="str">
        <f t="shared" si="26"/>
        <v/>
      </c>
      <c r="G83" s="43" t="str">
        <f t="shared" si="27"/>
        <v/>
      </c>
      <c r="H83" s="43" t="str">
        <f t="shared" si="28"/>
        <v/>
      </c>
      <c r="I83" s="43" t="str">
        <f t="shared" si="29"/>
        <v/>
      </c>
      <c r="J83" s="43" t="str">
        <f t="shared" si="30"/>
        <v/>
      </c>
      <c r="K83" s="33"/>
    </row>
    <row r="84" spans="1:12" x14ac:dyDescent="0.3">
      <c r="A84" s="10"/>
      <c r="B84" s="37" t="str">
        <f t="shared" si="24"/>
        <v/>
      </c>
      <c r="C84" s="10"/>
      <c r="D84" s="41"/>
      <c r="E84" s="43" t="str">
        <f t="shared" si="25"/>
        <v/>
      </c>
      <c r="F84" s="43" t="str">
        <f t="shared" si="26"/>
        <v/>
      </c>
      <c r="G84" s="43" t="str">
        <f t="shared" si="27"/>
        <v/>
      </c>
      <c r="H84" s="43" t="str">
        <f t="shared" si="28"/>
        <v/>
      </c>
      <c r="I84" s="43" t="str">
        <f t="shared" si="29"/>
        <v/>
      </c>
      <c r="J84" s="43" t="str">
        <f t="shared" si="30"/>
        <v/>
      </c>
      <c r="K84" s="33"/>
    </row>
    <row r="85" spans="1:12" x14ac:dyDescent="0.3">
      <c r="A85" s="10"/>
      <c r="B85" s="37" t="str">
        <f t="shared" si="24"/>
        <v/>
      </c>
      <c r="C85" s="10"/>
      <c r="D85" s="41"/>
      <c r="E85" s="43" t="str">
        <f t="shared" si="25"/>
        <v/>
      </c>
      <c r="F85" s="43" t="str">
        <f t="shared" si="26"/>
        <v/>
      </c>
      <c r="G85" s="43" t="str">
        <f t="shared" si="27"/>
        <v/>
      </c>
      <c r="H85" s="43" t="str">
        <f t="shared" si="28"/>
        <v/>
      </c>
      <c r="I85" s="43" t="str">
        <f t="shared" si="29"/>
        <v/>
      </c>
      <c r="J85" s="43" t="str">
        <f t="shared" si="30"/>
        <v/>
      </c>
      <c r="K85" s="33"/>
    </row>
    <row r="86" spans="1:12" x14ac:dyDescent="0.3">
      <c r="A86" s="13" t="s">
        <v>12</v>
      </c>
      <c r="B86" s="13"/>
      <c r="C86" s="13"/>
      <c r="D86" s="44"/>
      <c r="E86" s="45">
        <f>SUM(E67:E85)</f>
        <v>0</v>
      </c>
      <c r="F86" s="45">
        <f>SUM(F67:F85)</f>
        <v>0</v>
      </c>
      <c r="G86" s="45">
        <f>SUM(G67:G85)</f>
        <v>0</v>
      </c>
      <c r="H86" s="45">
        <f>SUM(H67:H85)</f>
        <v>0</v>
      </c>
      <c r="I86" s="45">
        <f t="shared" ref="I86:J86" si="31">SUM(I67:I85)</f>
        <v>0</v>
      </c>
      <c r="J86" s="45">
        <f t="shared" si="31"/>
        <v>0</v>
      </c>
      <c r="K86" s="34"/>
      <c r="L86" s="14"/>
    </row>
    <row r="87" spans="1:12" x14ac:dyDescent="0.3">
      <c r="A87" s="15"/>
      <c r="B87" s="15"/>
      <c r="C87" s="15"/>
      <c r="D87" s="40" t="s">
        <v>14</v>
      </c>
      <c r="E87" s="46"/>
      <c r="F87" s="46"/>
      <c r="G87" s="46"/>
      <c r="H87" s="46"/>
      <c r="I87" s="46"/>
      <c r="J87" s="46"/>
      <c r="K87" s="32"/>
      <c r="L87" s="4"/>
    </row>
    <row r="88" spans="1:12" x14ac:dyDescent="0.3">
      <c r="A88" s="16" t="s">
        <v>9</v>
      </c>
      <c r="B88" s="8"/>
      <c r="C88" s="9"/>
      <c r="D88" s="41">
        <v>0.375</v>
      </c>
      <c r="E88" s="47"/>
      <c r="F88" s="47"/>
      <c r="G88" s="47"/>
      <c r="H88" s="47"/>
      <c r="I88" s="47"/>
      <c r="J88" s="47"/>
      <c r="K88" s="33"/>
      <c r="L88" s="4"/>
    </row>
    <row r="89" spans="1:12" x14ac:dyDescent="0.3">
      <c r="A89" s="10"/>
      <c r="B89" s="37" t="str">
        <f t="shared" ref="B89:B106" si="32">IF(A89="","",INDEX(Number_list,MATCH(A89,Project_list,0)))</f>
        <v/>
      </c>
      <c r="C89" s="10"/>
      <c r="D89" s="41"/>
      <c r="E89" s="43" t="str">
        <f t="shared" ref="E89:E106" si="33">IF($A89="","",IF(LEFT(INDEX(Number_list,MATCH($A89,Project_list,0)),2)="20",$D89-$D88,""))</f>
        <v/>
      </c>
      <c r="F89" s="43" t="str">
        <f t="shared" ref="F89:F106" si="34">IF($A89="","",IF(LEFT(INDEX(Number_list,MATCH($A89,Project_list,0)),2)="NC",$D89-$D88,""))</f>
        <v/>
      </c>
      <c r="G89" s="43" t="str">
        <f t="shared" ref="G89:G106" si="35">IF($A89="","",IF(LEFT(INDEX(Number_list,MATCH($A89,Project_list,0)),5)="admin",$D89-$D88,""))</f>
        <v/>
      </c>
      <c r="H89" s="43" t="str">
        <f>IF($A89="full day holiday",7.5/24,IF($A89="1/2 day holiday",3.75/24,""))</f>
        <v/>
      </c>
      <c r="I89" s="43" t="str">
        <f>IF($A89="bank holiday",7.5/24,"")</f>
        <v/>
      </c>
      <c r="J89" s="43" t="str">
        <f>IF($A89="full day sick",7.5/24,IF($A89="1/2 day sick",3.75/24,""))</f>
        <v/>
      </c>
      <c r="K89" s="33"/>
      <c r="L89" s="4"/>
    </row>
    <row r="90" spans="1:12" x14ac:dyDescent="0.3">
      <c r="A90" s="10"/>
      <c r="B90" s="37" t="str">
        <f t="shared" si="32"/>
        <v/>
      </c>
      <c r="C90" s="10"/>
      <c r="D90" s="41"/>
      <c r="E90" s="43" t="str">
        <f t="shared" si="33"/>
        <v/>
      </c>
      <c r="F90" s="43" t="str">
        <f t="shared" si="34"/>
        <v/>
      </c>
      <c r="G90" s="43" t="str">
        <f t="shared" si="35"/>
        <v/>
      </c>
      <c r="H90" s="43" t="str">
        <f t="shared" ref="H90:H106" si="36">IF($A90="full day holiday",7.5/24,IF($A90="1/2 day holiday",3.75/24,""))</f>
        <v/>
      </c>
      <c r="I90" s="43" t="str">
        <f t="shared" ref="I90:I106" si="37">IF($A90="bank holiday",7.5/24,"")</f>
        <v/>
      </c>
      <c r="J90" s="43" t="str">
        <f>IF($A90="full day sick",7.5/24,IF($A90="1/2 day sick",3.75/24,""))</f>
        <v/>
      </c>
      <c r="K90" s="33"/>
      <c r="L90" s="4"/>
    </row>
    <row r="91" spans="1:12" x14ac:dyDescent="0.3">
      <c r="A91" s="10"/>
      <c r="B91" s="37" t="str">
        <f t="shared" si="32"/>
        <v/>
      </c>
      <c r="C91" s="10"/>
      <c r="D91" s="41"/>
      <c r="E91" s="43" t="str">
        <f t="shared" si="33"/>
        <v/>
      </c>
      <c r="F91" s="43" t="str">
        <f t="shared" si="34"/>
        <v/>
      </c>
      <c r="G91" s="43" t="str">
        <f t="shared" si="35"/>
        <v/>
      </c>
      <c r="H91" s="43" t="str">
        <f t="shared" si="36"/>
        <v/>
      </c>
      <c r="I91" s="43" t="str">
        <f t="shared" si="37"/>
        <v/>
      </c>
      <c r="J91" s="43" t="str">
        <f t="shared" ref="J91:J106" si="38">IF($A91="full day sick",7.5/24,IF($A91="1/2 day sick",3.75/24,""))</f>
        <v/>
      </c>
      <c r="K91" s="33"/>
      <c r="L91" s="4"/>
    </row>
    <row r="92" spans="1:12" x14ac:dyDescent="0.3">
      <c r="A92" s="10"/>
      <c r="B92" s="37" t="str">
        <f t="shared" si="32"/>
        <v/>
      </c>
      <c r="C92" s="10"/>
      <c r="D92" s="41"/>
      <c r="E92" s="43" t="str">
        <f t="shared" si="33"/>
        <v/>
      </c>
      <c r="F92" s="43" t="str">
        <f t="shared" si="34"/>
        <v/>
      </c>
      <c r="G92" s="43" t="str">
        <f t="shared" si="35"/>
        <v/>
      </c>
      <c r="H92" s="43" t="str">
        <f t="shared" si="36"/>
        <v/>
      </c>
      <c r="I92" s="43" t="str">
        <f t="shared" si="37"/>
        <v/>
      </c>
      <c r="J92" s="43" t="str">
        <f t="shared" si="38"/>
        <v/>
      </c>
      <c r="K92" s="33"/>
      <c r="L92" s="4"/>
    </row>
    <row r="93" spans="1:12" x14ac:dyDescent="0.3">
      <c r="A93" s="10"/>
      <c r="B93" s="37" t="str">
        <f t="shared" si="32"/>
        <v/>
      </c>
      <c r="C93" s="10"/>
      <c r="D93" s="41"/>
      <c r="E93" s="43" t="str">
        <f t="shared" si="33"/>
        <v/>
      </c>
      <c r="F93" s="43" t="str">
        <f t="shared" si="34"/>
        <v/>
      </c>
      <c r="G93" s="43" t="str">
        <f t="shared" si="35"/>
        <v/>
      </c>
      <c r="H93" s="43" t="str">
        <f t="shared" si="36"/>
        <v/>
      </c>
      <c r="I93" s="43" t="str">
        <f t="shared" si="37"/>
        <v/>
      </c>
      <c r="J93" s="43" t="str">
        <f t="shared" si="38"/>
        <v/>
      </c>
      <c r="K93" s="33"/>
      <c r="L93" s="4"/>
    </row>
    <row r="94" spans="1:12" x14ac:dyDescent="0.3">
      <c r="A94" s="10"/>
      <c r="B94" s="37" t="str">
        <f t="shared" si="32"/>
        <v/>
      </c>
      <c r="C94" s="10"/>
      <c r="D94" s="41"/>
      <c r="E94" s="43" t="str">
        <f t="shared" si="33"/>
        <v/>
      </c>
      <c r="F94" s="43" t="str">
        <f t="shared" si="34"/>
        <v/>
      </c>
      <c r="G94" s="43" t="str">
        <f t="shared" si="35"/>
        <v/>
      </c>
      <c r="H94" s="43" t="str">
        <f t="shared" si="36"/>
        <v/>
      </c>
      <c r="I94" s="43" t="str">
        <f t="shared" si="37"/>
        <v/>
      </c>
      <c r="J94" s="43" t="str">
        <f t="shared" si="38"/>
        <v/>
      </c>
      <c r="K94" s="33"/>
      <c r="L94" s="4"/>
    </row>
    <row r="95" spans="1:12" x14ac:dyDescent="0.3">
      <c r="A95" s="10"/>
      <c r="B95" s="37" t="str">
        <f t="shared" si="32"/>
        <v/>
      </c>
      <c r="C95" s="10"/>
      <c r="D95" s="41"/>
      <c r="E95" s="43" t="str">
        <f t="shared" si="33"/>
        <v/>
      </c>
      <c r="F95" s="43" t="str">
        <f t="shared" si="34"/>
        <v/>
      </c>
      <c r="G95" s="43" t="str">
        <f t="shared" si="35"/>
        <v/>
      </c>
      <c r="H95" s="43" t="str">
        <f t="shared" si="36"/>
        <v/>
      </c>
      <c r="I95" s="43" t="str">
        <f t="shared" si="37"/>
        <v/>
      </c>
      <c r="J95" s="43" t="str">
        <f t="shared" si="38"/>
        <v/>
      </c>
      <c r="K95" s="33"/>
      <c r="L95" s="4"/>
    </row>
    <row r="96" spans="1:12" x14ac:dyDescent="0.3">
      <c r="A96" s="10"/>
      <c r="B96" s="37" t="str">
        <f t="shared" si="32"/>
        <v/>
      </c>
      <c r="C96" s="10"/>
      <c r="D96" s="41"/>
      <c r="E96" s="43" t="str">
        <f t="shared" si="33"/>
        <v/>
      </c>
      <c r="F96" s="43" t="str">
        <f t="shared" si="34"/>
        <v/>
      </c>
      <c r="G96" s="43" t="str">
        <f t="shared" si="35"/>
        <v/>
      </c>
      <c r="H96" s="43" t="str">
        <f t="shared" si="36"/>
        <v/>
      </c>
      <c r="I96" s="43" t="str">
        <f t="shared" si="37"/>
        <v/>
      </c>
      <c r="J96" s="43" t="str">
        <f t="shared" si="38"/>
        <v/>
      </c>
      <c r="K96" s="33"/>
      <c r="L96" s="4"/>
    </row>
    <row r="97" spans="1:12" x14ac:dyDescent="0.3">
      <c r="A97" s="10"/>
      <c r="B97" s="37" t="str">
        <f t="shared" si="32"/>
        <v/>
      </c>
      <c r="C97" s="10"/>
      <c r="D97" s="41"/>
      <c r="E97" s="43" t="str">
        <f t="shared" si="33"/>
        <v/>
      </c>
      <c r="F97" s="43" t="str">
        <f t="shared" si="34"/>
        <v/>
      </c>
      <c r="G97" s="43" t="str">
        <f t="shared" si="35"/>
        <v/>
      </c>
      <c r="H97" s="43" t="str">
        <f>IF($A97="full day holiday",7.5/24,IF($A97="1/2 day holiday",3.75/24,""))</f>
        <v/>
      </c>
      <c r="I97" s="43" t="str">
        <f t="shared" si="37"/>
        <v/>
      </c>
      <c r="J97" s="43" t="str">
        <f t="shared" si="38"/>
        <v/>
      </c>
      <c r="K97" s="33"/>
      <c r="L97" s="4"/>
    </row>
    <row r="98" spans="1:12" x14ac:dyDescent="0.3">
      <c r="A98" s="10"/>
      <c r="B98" s="37" t="str">
        <f t="shared" si="32"/>
        <v/>
      </c>
      <c r="C98" s="10"/>
      <c r="D98" s="41"/>
      <c r="E98" s="43" t="str">
        <f t="shared" si="33"/>
        <v/>
      </c>
      <c r="F98" s="43" t="str">
        <f t="shared" si="34"/>
        <v/>
      </c>
      <c r="G98" s="43" t="str">
        <f t="shared" si="35"/>
        <v/>
      </c>
      <c r="H98" s="43" t="str">
        <f t="shared" si="36"/>
        <v/>
      </c>
      <c r="I98" s="43" t="str">
        <f t="shared" si="37"/>
        <v/>
      </c>
      <c r="J98" s="43" t="str">
        <f>IF($A98="full day sick",7.5/24,IF($A98="1/2 day sick",3.75/24,""))</f>
        <v/>
      </c>
      <c r="K98" s="33"/>
      <c r="L98" s="4"/>
    </row>
    <row r="99" spans="1:12" x14ac:dyDescent="0.3">
      <c r="A99" s="10"/>
      <c r="B99" s="37" t="str">
        <f t="shared" si="32"/>
        <v/>
      </c>
      <c r="C99" s="10"/>
      <c r="D99" s="41"/>
      <c r="E99" s="43" t="str">
        <f t="shared" si="33"/>
        <v/>
      </c>
      <c r="F99" s="43" t="str">
        <f t="shared" si="34"/>
        <v/>
      </c>
      <c r="G99" s="43" t="str">
        <f t="shared" si="35"/>
        <v/>
      </c>
      <c r="H99" s="43" t="str">
        <f t="shared" si="36"/>
        <v/>
      </c>
      <c r="I99" s="43" t="str">
        <f t="shared" si="37"/>
        <v/>
      </c>
      <c r="J99" s="43" t="str">
        <f t="shared" si="38"/>
        <v/>
      </c>
      <c r="K99" s="33"/>
      <c r="L99" s="4"/>
    </row>
    <row r="100" spans="1:12" x14ac:dyDescent="0.3">
      <c r="A100" s="10"/>
      <c r="B100" s="37" t="str">
        <f t="shared" si="32"/>
        <v/>
      </c>
      <c r="C100" s="10"/>
      <c r="D100" s="41"/>
      <c r="E100" s="43" t="str">
        <f t="shared" si="33"/>
        <v/>
      </c>
      <c r="F100" s="43" t="str">
        <f t="shared" si="34"/>
        <v/>
      </c>
      <c r="G100" s="43" t="str">
        <f t="shared" si="35"/>
        <v/>
      </c>
      <c r="H100" s="43" t="str">
        <f t="shared" si="36"/>
        <v/>
      </c>
      <c r="I100" s="43" t="str">
        <f t="shared" si="37"/>
        <v/>
      </c>
      <c r="J100" s="43" t="str">
        <f t="shared" si="38"/>
        <v/>
      </c>
      <c r="K100" s="33"/>
      <c r="L100" s="4"/>
    </row>
    <row r="101" spans="1:12" x14ac:dyDescent="0.3">
      <c r="A101" s="10"/>
      <c r="B101" s="37" t="str">
        <f t="shared" si="32"/>
        <v/>
      </c>
      <c r="C101" s="10"/>
      <c r="D101" s="41"/>
      <c r="E101" s="43" t="str">
        <f t="shared" si="33"/>
        <v/>
      </c>
      <c r="F101" s="43" t="str">
        <f t="shared" si="34"/>
        <v/>
      </c>
      <c r="G101" s="43" t="str">
        <f t="shared" si="35"/>
        <v/>
      </c>
      <c r="H101" s="43" t="str">
        <f t="shared" si="36"/>
        <v/>
      </c>
      <c r="I101" s="43" t="str">
        <f t="shared" si="37"/>
        <v/>
      </c>
      <c r="J101" s="43" t="str">
        <f t="shared" si="38"/>
        <v/>
      </c>
      <c r="K101" s="33"/>
      <c r="L101" s="4"/>
    </row>
    <row r="102" spans="1:12" x14ac:dyDescent="0.3">
      <c r="A102" s="10"/>
      <c r="B102" s="37" t="str">
        <f t="shared" si="32"/>
        <v/>
      </c>
      <c r="C102" s="10"/>
      <c r="D102" s="41"/>
      <c r="E102" s="43" t="str">
        <f t="shared" si="33"/>
        <v/>
      </c>
      <c r="F102" s="43" t="str">
        <f t="shared" si="34"/>
        <v/>
      </c>
      <c r="G102" s="43" t="str">
        <f t="shared" si="35"/>
        <v/>
      </c>
      <c r="H102" s="43" t="str">
        <f t="shared" si="36"/>
        <v/>
      </c>
      <c r="I102" s="43" t="str">
        <f t="shared" si="37"/>
        <v/>
      </c>
      <c r="J102" s="43" t="str">
        <f t="shared" si="38"/>
        <v/>
      </c>
      <c r="K102" s="33"/>
      <c r="L102" s="4"/>
    </row>
    <row r="103" spans="1:12" x14ac:dyDescent="0.3">
      <c r="A103" s="10"/>
      <c r="B103" s="37" t="str">
        <f t="shared" si="32"/>
        <v/>
      </c>
      <c r="C103" s="10"/>
      <c r="D103" s="41"/>
      <c r="E103" s="43" t="str">
        <f t="shared" si="33"/>
        <v/>
      </c>
      <c r="F103" s="43" t="str">
        <f t="shared" si="34"/>
        <v/>
      </c>
      <c r="G103" s="43" t="str">
        <f t="shared" si="35"/>
        <v/>
      </c>
      <c r="H103" s="43" t="str">
        <f t="shared" si="36"/>
        <v/>
      </c>
      <c r="I103" s="43" t="str">
        <f t="shared" si="37"/>
        <v/>
      </c>
      <c r="J103" s="43" t="str">
        <f t="shared" si="38"/>
        <v/>
      </c>
      <c r="K103" s="33"/>
      <c r="L103" s="4"/>
    </row>
    <row r="104" spans="1:12" x14ac:dyDescent="0.3">
      <c r="A104" s="10"/>
      <c r="B104" s="37" t="str">
        <f t="shared" si="32"/>
        <v/>
      </c>
      <c r="C104" s="10"/>
      <c r="D104" s="41"/>
      <c r="E104" s="43" t="str">
        <f t="shared" si="33"/>
        <v/>
      </c>
      <c r="F104" s="43" t="str">
        <f t="shared" si="34"/>
        <v/>
      </c>
      <c r="G104" s="43" t="str">
        <f t="shared" si="35"/>
        <v/>
      </c>
      <c r="H104" s="43" t="str">
        <f t="shared" si="36"/>
        <v/>
      </c>
      <c r="I104" s="43" t="str">
        <f t="shared" si="37"/>
        <v/>
      </c>
      <c r="J104" s="43" t="str">
        <f t="shared" si="38"/>
        <v/>
      </c>
      <c r="K104" s="33"/>
      <c r="L104" s="4"/>
    </row>
    <row r="105" spans="1:12" x14ac:dyDescent="0.3">
      <c r="A105" s="10"/>
      <c r="B105" s="37" t="str">
        <f t="shared" si="32"/>
        <v/>
      </c>
      <c r="C105" s="10"/>
      <c r="D105" s="41"/>
      <c r="E105" s="43" t="str">
        <f t="shared" si="33"/>
        <v/>
      </c>
      <c r="F105" s="43" t="str">
        <f t="shared" si="34"/>
        <v/>
      </c>
      <c r="G105" s="43" t="str">
        <f t="shared" si="35"/>
        <v/>
      </c>
      <c r="H105" s="43" t="str">
        <f t="shared" si="36"/>
        <v/>
      </c>
      <c r="I105" s="43" t="str">
        <f t="shared" si="37"/>
        <v/>
      </c>
      <c r="J105" s="43" t="str">
        <f t="shared" si="38"/>
        <v/>
      </c>
      <c r="K105" s="33"/>
      <c r="L105" s="4"/>
    </row>
    <row r="106" spans="1:12" x14ac:dyDescent="0.3">
      <c r="A106" s="10"/>
      <c r="B106" s="37" t="str">
        <f t="shared" si="32"/>
        <v/>
      </c>
      <c r="C106" s="10"/>
      <c r="D106" s="41"/>
      <c r="E106" s="43" t="str">
        <f t="shared" si="33"/>
        <v/>
      </c>
      <c r="F106" s="43" t="str">
        <f t="shared" si="34"/>
        <v/>
      </c>
      <c r="G106" s="43" t="str">
        <f t="shared" si="35"/>
        <v/>
      </c>
      <c r="H106" s="43" t="str">
        <f t="shared" si="36"/>
        <v/>
      </c>
      <c r="I106" s="43" t="str">
        <f t="shared" si="37"/>
        <v/>
      </c>
      <c r="J106" s="43" t="str">
        <f t="shared" si="38"/>
        <v/>
      </c>
      <c r="K106" s="33"/>
    </row>
    <row r="107" spans="1:12" x14ac:dyDescent="0.3">
      <c r="A107" s="13" t="s">
        <v>12</v>
      </c>
      <c r="B107" s="13"/>
      <c r="C107" s="13"/>
      <c r="D107" s="44"/>
      <c r="E107" s="45">
        <f>SUM(E88:E106)</f>
        <v>0</v>
      </c>
      <c r="F107" s="45">
        <f>SUM(F88:F106)</f>
        <v>0</v>
      </c>
      <c r="G107" s="45">
        <f>SUM(G88:G106)</f>
        <v>0</v>
      </c>
      <c r="H107" s="45">
        <f>SUM(H88:H106)</f>
        <v>0</v>
      </c>
      <c r="I107" s="45">
        <f t="shared" ref="I107:J107" si="39">SUM(I88:I106)</f>
        <v>0</v>
      </c>
      <c r="J107" s="45">
        <f t="shared" si="39"/>
        <v>0</v>
      </c>
      <c r="K107" s="29"/>
      <c r="L107" s="14"/>
    </row>
    <row r="108" spans="1:12" x14ac:dyDescent="0.3">
      <c r="A108" s="15"/>
      <c r="B108" s="15"/>
      <c r="C108" s="15"/>
      <c r="D108" s="40" t="s">
        <v>22</v>
      </c>
      <c r="E108" s="46"/>
      <c r="F108" s="46"/>
      <c r="G108" s="46"/>
      <c r="H108" s="46"/>
      <c r="I108" s="46"/>
      <c r="J108" s="46"/>
      <c r="K108" s="32"/>
      <c r="L108" s="4"/>
    </row>
    <row r="109" spans="1:12" x14ac:dyDescent="0.3">
      <c r="A109" s="16" t="s">
        <v>9</v>
      </c>
      <c r="B109" s="8"/>
      <c r="C109" s="9"/>
      <c r="D109" s="41">
        <v>0.375</v>
      </c>
      <c r="E109" s="47"/>
      <c r="F109" s="47"/>
      <c r="G109" s="47"/>
      <c r="H109" s="47"/>
      <c r="I109" s="47"/>
      <c r="J109" s="47"/>
      <c r="K109" s="33"/>
      <c r="L109" s="4"/>
    </row>
    <row r="110" spans="1:12" x14ac:dyDescent="0.3">
      <c r="A110" s="10"/>
      <c r="B110" s="37" t="str">
        <f t="shared" ref="B110:B127" si="40">IF(A110="","",INDEX(Number_list,MATCH(A110,Project_list,0)))</f>
        <v/>
      </c>
      <c r="C110" s="10"/>
      <c r="D110" s="41"/>
      <c r="E110" s="43" t="str">
        <f t="shared" ref="E110:E127" si="41">IF($A110="","",IF(LEFT(INDEX(Number_list,MATCH($A110,Project_list,0)),2)="20",$D110-$D109,""))</f>
        <v/>
      </c>
      <c r="F110" s="43" t="str">
        <f t="shared" ref="F110:F127" si="42">IF($A110="","",IF(LEFT(INDEX(Number_list,MATCH($A110,Project_list,0)),2)="NC",$D110-$D109,""))</f>
        <v/>
      </c>
      <c r="G110" s="43" t="str">
        <f t="shared" ref="G110:G127" si="43">IF($A110="","",IF(LEFT(INDEX(Number_list,MATCH($A110,Project_list,0)),5)="admin",$D110-$D109,""))</f>
        <v/>
      </c>
      <c r="H110" s="43" t="str">
        <f>IF($A110="full day holiday",7.5/24,IF($A110="1/2 day holiday",3.75/24,""))</f>
        <v/>
      </c>
      <c r="I110" s="43" t="str">
        <f>IF($A110="bank holiday",7.5/24,"")</f>
        <v/>
      </c>
      <c r="J110" s="43" t="str">
        <f>IF($A110="full day sick",7.5/24,IF($A110="1/2 day sick",3.75/24,""))</f>
        <v/>
      </c>
      <c r="K110" s="33"/>
      <c r="L110" s="4"/>
    </row>
    <row r="111" spans="1:12" x14ac:dyDescent="0.3">
      <c r="A111" s="10"/>
      <c r="B111" s="37" t="str">
        <f t="shared" si="40"/>
        <v/>
      </c>
      <c r="C111" s="10"/>
      <c r="D111" s="41"/>
      <c r="E111" s="43" t="str">
        <f t="shared" si="41"/>
        <v/>
      </c>
      <c r="F111" s="43" t="str">
        <f t="shared" si="42"/>
        <v/>
      </c>
      <c r="G111" s="43" t="str">
        <f t="shared" si="43"/>
        <v/>
      </c>
      <c r="H111" s="43" t="str">
        <f t="shared" ref="H111:H127" si="44">IF($A111="full day holiday",7.5/24,IF($A111="1/2 day holiday",3.75/24,""))</f>
        <v/>
      </c>
      <c r="I111" s="43" t="str">
        <f t="shared" ref="I111:I127" si="45">IF($A111="bank holiday",7.5/24,"")</f>
        <v/>
      </c>
      <c r="J111" s="43" t="str">
        <f>IF($A111="full day sick",7.5/24,IF($A111="1/2 day sick",3.75/24,""))</f>
        <v/>
      </c>
      <c r="K111" s="33"/>
      <c r="L111" s="4"/>
    </row>
    <row r="112" spans="1:12" x14ac:dyDescent="0.3">
      <c r="A112" s="10"/>
      <c r="B112" s="37" t="str">
        <f t="shared" si="40"/>
        <v/>
      </c>
      <c r="C112" s="10"/>
      <c r="D112" s="41"/>
      <c r="E112" s="43" t="str">
        <f t="shared" si="41"/>
        <v/>
      </c>
      <c r="F112" s="43" t="str">
        <f t="shared" si="42"/>
        <v/>
      </c>
      <c r="G112" s="43" t="str">
        <f t="shared" si="43"/>
        <v/>
      </c>
      <c r="H112" s="43" t="str">
        <f t="shared" si="44"/>
        <v/>
      </c>
      <c r="I112" s="43" t="str">
        <f t="shared" si="45"/>
        <v/>
      </c>
      <c r="J112" s="43" t="str">
        <f t="shared" ref="J112:J127" si="46">IF($A112="full day sick",7.5/24,IF($A112="1/2 day sick",3.75/24,""))</f>
        <v/>
      </c>
      <c r="K112" s="33"/>
      <c r="L112" s="4"/>
    </row>
    <row r="113" spans="1:12" x14ac:dyDescent="0.3">
      <c r="A113" s="10"/>
      <c r="B113" s="37" t="str">
        <f t="shared" si="40"/>
        <v/>
      </c>
      <c r="C113" s="10"/>
      <c r="D113" s="41"/>
      <c r="E113" s="43" t="str">
        <f t="shared" si="41"/>
        <v/>
      </c>
      <c r="F113" s="43" t="str">
        <f t="shared" si="42"/>
        <v/>
      </c>
      <c r="G113" s="43" t="str">
        <f t="shared" si="43"/>
        <v/>
      </c>
      <c r="H113" s="43" t="str">
        <f t="shared" si="44"/>
        <v/>
      </c>
      <c r="I113" s="43" t="str">
        <f t="shared" si="45"/>
        <v/>
      </c>
      <c r="J113" s="43" t="str">
        <f t="shared" si="46"/>
        <v/>
      </c>
      <c r="K113" s="33"/>
      <c r="L113" s="4"/>
    </row>
    <row r="114" spans="1:12" x14ac:dyDescent="0.3">
      <c r="A114" s="10"/>
      <c r="B114" s="37" t="str">
        <f t="shared" si="40"/>
        <v/>
      </c>
      <c r="C114" s="10"/>
      <c r="D114" s="41"/>
      <c r="E114" s="43" t="str">
        <f t="shared" si="41"/>
        <v/>
      </c>
      <c r="F114" s="43" t="str">
        <f t="shared" si="42"/>
        <v/>
      </c>
      <c r="G114" s="43" t="str">
        <f t="shared" si="43"/>
        <v/>
      </c>
      <c r="H114" s="43" t="str">
        <f t="shared" si="44"/>
        <v/>
      </c>
      <c r="I114" s="43" t="str">
        <f t="shared" si="45"/>
        <v/>
      </c>
      <c r="J114" s="43" t="str">
        <f t="shared" si="46"/>
        <v/>
      </c>
      <c r="K114" s="33"/>
      <c r="L114" s="4"/>
    </row>
    <row r="115" spans="1:12" x14ac:dyDescent="0.3">
      <c r="A115" s="10"/>
      <c r="B115" s="37" t="str">
        <f t="shared" si="40"/>
        <v/>
      </c>
      <c r="C115" s="10"/>
      <c r="D115" s="41"/>
      <c r="E115" s="43" t="str">
        <f t="shared" si="41"/>
        <v/>
      </c>
      <c r="F115" s="43" t="str">
        <f t="shared" si="42"/>
        <v/>
      </c>
      <c r="G115" s="43" t="str">
        <f t="shared" si="43"/>
        <v/>
      </c>
      <c r="H115" s="43" t="str">
        <f t="shared" si="44"/>
        <v/>
      </c>
      <c r="I115" s="43" t="str">
        <f t="shared" si="45"/>
        <v/>
      </c>
      <c r="J115" s="43" t="str">
        <f t="shared" si="46"/>
        <v/>
      </c>
      <c r="K115" s="33"/>
      <c r="L115" s="4"/>
    </row>
    <row r="116" spans="1:12" x14ac:dyDescent="0.3">
      <c r="A116" s="10"/>
      <c r="B116" s="37" t="str">
        <f t="shared" si="40"/>
        <v/>
      </c>
      <c r="C116" s="10"/>
      <c r="D116" s="41"/>
      <c r="E116" s="43" t="str">
        <f t="shared" si="41"/>
        <v/>
      </c>
      <c r="F116" s="43" t="str">
        <f t="shared" si="42"/>
        <v/>
      </c>
      <c r="G116" s="43" t="str">
        <f t="shared" si="43"/>
        <v/>
      </c>
      <c r="H116" s="43" t="str">
        <f t="shared" si="44"/>
        <v/>
      </c>
      <c r="I116" s="43" t="str">
        <f t="shared" si="45"/>
        <v/>
      </c>
      <c r="J116" s="43" t="str">
        <f t="shared" si="46"/>
        <v/>
      </c>
      <c r="K116" s="33"/>
      <c r="L116" s="4"/>
    </row>
    <row r="117" spans="1:12" x14ac:dyDescent="0.3">
      <c r="A117" s="10"/>
      <c r="B117" s="37" t="str">
        <f t="shared" si="40"/>
        <v/>
      </c>
      <c r="C117" s="10"/>
      <c r="D117" s="41"/>
      <c r="E117" s="43" t="str">
        <f t="shared" si="41"/>
        <v/>
      </c>
      <c r="F117" s="43" t="str">
        <f t="shared" si="42"/>
        <v/>
      </c>
      <c r="G117" s="43" t="str">
        <f t="shared" si="43"/>
        <v/>
      </c>
      <c r="H117" s="43" t="str">
        <f t="shared" si="44"/>
        <v/>
      </c>
      <c r="I117" s="43" t="str">
        <f t="shared" si="45"/>
        <v/>
      </c>
      <c r="J117" s="43" t="str">
        <f t="shared" si="46"/>
        <v/>
      </c>
      <c r="K117" s="33"/>
      <c r="L117" s="4"/>
    </row>
    <row r="118" spans="1:12" x14ac:dyDescent="0.3">
      <c r="A118" s="10"/>
      <c r="B118" s="37" t="str">
        <f t="shared" si="40"/>
        <v/>
      </c>
      <c r="C118" s="10"/>
      <c r="D118" s="41"/>
      <c r="E118" s="43" t="str">
        <f t="shared" si="41"/>
        <v/>
      </c>
      <c r="F118" s="43" t="str">
        <f t="shared" si="42"/>
        <v/>
      </c>
      <c r="G118" s="43" t="str">
        <f t="shared" si="43"/>
        <v/>
      </c>
      <c r="H118" s="43" t="str">
        <f>IF($A118="full day holiday",7.5/24,IF($A118="1/2 day holiday",3.75/24,""))</f>
        <v/>
      </c>
      <c r="I118" s="43" t="str">
        <f t="shared" si="45"/>
        <v/>
      </c>
      <c r="J118" s="43" t="str">
        <f t="shared" si="46"/>
        <v/>
      </c>
      <c r="K118" s="33"/>
      <c r="L118" s="4"/>
    </row>
    <row r="119" spans="1:12" x14ac:dyDescent="0.3">
      <c r="A119" s="10"/>
      <c r="B119" s="37" t="str">
        <f t="shared" si="40"/>
        <v/>
      </c>
      <c r="C119" s="10"/>
      <c r="D119" s="41"/>
      <c r="E119" s="43" t="str">
        <f t="shared" si="41"/>
        <v/>
      </c>
      <c r="F119" s="43" t="str">
        <f t="shared" si="42"/>
        <v/>
      </c>
      <c r="G119" s="43" t="str">
        <f t="shared" si="43"/>
        <v/>
      </c>
      <c r="H119" s="43" t="str">
        <f t="shared" si="44"/>
        <v/>
      </c>
      <c r="I119" s="43" t="str">
        <f t="shared" si="45"/>
        <v/>
      </c>
      <c r="J119" s="43" t="str">
        <f>IF($A119="full day sick",7.5/24,IF($A119="1/2 day sick",3.75/24,""))</f>
        <v/>
      </c>
      <c r="K119" s="33"/>
      <c r="L119" s="4"/>
    </row>
    <row r="120" spans="1:12" x14ac:dyDescent="0.3">
      <c r="A120" s="10"/>
      <c r="B120" s="37" t="str">
        <f t="shared" si="40"/>
        <v/>
      </c>
      <c r="C120" s="10"/>
      <c r="D120" s="41"/>
      <c r="E120" s="43" t="str">
        <f t="shared" si="41"/>
        <v/>
      </c>
      <c r="F120" s="43" t="str">
        <f t="shared" si="42"/>
        <v/>
      </c>
      <c r="G120" s="43" t="str">
        <f t="shared" si="43"/>
        <v/>
      </c>
      <c r="H120" s="43" t="str">
        <f t="shared" si="44"/>
        <v/>
      </c>
      <c r="I120" s="43" t="str">
        <f t="shared" si="45"/>
        <v/>
      </c>
      <c r="J120" s="43" t="str">
        <f t="shared" si="46"/>
        <v/>
      </c>
      <c r="K120" s="33"/>
      <c r="L120" s="4"/>
    </row>
    <row r="121" spans="1:12" x14ac:dyDescent="0.3">
      <c r="A121" s="10"/>
      <c r="B121" s="37" t="str">
        <f t="shared" si="40"/>
        <v/>
      </c>
      <c r="C121" s="10"/>
      <c r="D121" s="41"/>
      <c r="E121" s="43" t="str">
        <f t="shared" si="41"/>
        <v/>
      </c>
      <c r="F121" s="43" t="str">
        <f t="shared" si="42"/>
        <v/>
      </c>
      <c r="G121" s="43" t="str">
        <f t="shared" si="43"/>
        <v/>
      </c>
      <c r="H121" s="43" t="str">
        <f t="shared" si="44"/>
        <v/>
      </c>
      <c r="I121" s="43" t="str">
        <f t="shared" si="45"/>
        <v/>
      </c>
      <c r="J121" s="43" t="str">
        <f t="shared" si="46"/>
        <v/>
      </c>
      <c r="K121" s="33"/>
      <c r="L121" s="4"/>
    </row>
    <row r="122" spans="1:12" x14ac:dyDescent="0.3">
      <c r="A122" s="10"/>
      <c r="B122" s="37" t="str">
        <f t="shared" si="40"/>
        <v/>
      </c>
      <c r="C122" s="10"/>
      <c r="D122" s="41"/>
      <c r="E122" s="43" t="str">
        <f t="shared" si="41"/>
        <v/>
      </c>
      <c r="F122" s="43" t="str">
        <f t="shared" si="42"/>
        <v/>
      </c>
      <c r="G122" s="43" t="str">
        <f t="shared" si="43"/>
        <v/>
      </c>
      <c r="H122" s="43" t="str">
        <f t="shared" si="44"/>
        <v/>
      </c>
      <c r="I122" s="43" t="str">
        <f t="shared" si="45"/>
        <v/>
      </c>
      <c r="J122" s="43" t="str">
        <f t="shared" si="46"/>
        <v/>
      </c>
      <c r="K122" s="33"/>
      <c r="L122" s="4"/>
    </row>
    <row r="123" spans="1:12" x14ac:dyDescent="0.3">
      <c r="A123" s="10"/>
      <c r="B123" s="37" t="str">
        <f t="shared" si="40"/>
        <v/>
      </c>
      <c r="C123" s="10"/>
      <c r="D123" s="41"/>
      <c r="E123" s="43" t="str">
        <f t="shared" si="41"/>
        <v/>
      </c>
      <c r="F123" s="43" t="str">
        <f t="shared" si="42"/>
        <v/>
      </c>
      <c r="G123" s="43" t="str">
        <f t="shared" si="43"/>
        <v/>
      </c>
      <c r="H123" s="43" t="str">
        <f t="shared" si="44"/>
        <v/>
      </c>
      <c r="I123" s="43" t="str">
        <f t="shared" si="45"/>
        <v/>
      </c>
      <c r="J123" s="43" t="str">
        <f t="shared" si="46"/>
        <v/>
      </c>
      <c r="K123" s="33"/>
      <c r="L123" s="4"/>
    </row>
    <row r="124" spans="1:12" x14ac:dyDescent="0.3">
      <c r="A124" s="10"/>
      <c r="B124" s="37" t="str">
        <f t="shared" si="40"/>
        <v/>
      </c>
      <c r="C124" s="10"/>
      <c r="D124" s="41"/>
      <c r="E124" s="43" t="str">
        <f t="shared" si="41"/>
        <v/>
      </c>
      <c r="F124" s="43" t="str">
        <f t="shared" si="42"/>
        <v/>
      </c>
      <c r="G124" s="43" t="str">
        <f t="shared" si="43"/>
        <v/>
      </c>
      <c r="H124" s="43" t="str">
        <f t="shared" si="44"/>
        <v/>
      </c>
      <c r="I124" s="43" t="str">
        <f t="shared" si="45"/>
        <v/>
      </c>
      <c r="J124" s="43" t="str">
        <f t="shared" si="46"/>
        <v/>
      </c>
      <c r="K124" s="33"/>
      <c r="L124" s="4"/>
    </row>
    <row r="125" spans="1:12" x14ac:dyDescent="0.3">
      <c r="A125" s="10"/>
      <c r="B125" s="37" t="str">
        <f t="shared" si="40"/>
        <v/>
      </c>
      <c r="C125" s="10"/>
      <c r="D125" s="41"/>
      <c r="E125" s="43" t="str">
        <f t="shared" si="41"/>
        <v/>
      </c>
      <c r="F125" s="43" t="str">
        <f t="shared" si="42"/>
        <v/>
      </c>
      <c r="G125" s="43" t="str">
        <f t="shared" si="43"/>
        <v/>
      </c>
      <c r="H125" s="43" t="str">
        <f t="shared" si="44"/>
        <v/>
      </c>
      <c r="I125" s="43" t="str">
        <f t="shared" si="45"/>
        <v/>
      </c>
      <c r="J125" s="43" t="str">
        <f t="shared" si="46"/>
        <v/>
      </c>
      <c r="K125" s="33"/>
      <c r="L125" s="4"/>
    </row>
    <row r="126" spans="1:12" x14ac:dyDescent="0.3">
      <c r="A126" s="10"/>
      <c r="B126" s="37" t="str">
        <f t="shared" si="40"/>
        <v/>
      </c>
      <c r="C126" s="10"/>
      <c r="D126" s="41"/>
      <c r="E126" s="43" t="str">
        <f t="shared" si="41"/>
        <v/>
      </c>
      <c r="F126" s="43" t="str">
        <f t="shared" si="42"/>
        <v/>
      </c>
      <c r="G126" s="43" t="str">
        <f t="shared" si="43"/>
        <v/>
      </c>
      <c r="H126" s="43" t="str">
        <f t="shared" si="44"/>
        <v/>
      </c>
      <c r="I126" s="43" t="str">
        <f t="shared" si="45"/>
        <v/>
      </c>
      <c r="J126" s="43" t="str">
        <f t="shared" si="46"/>
        <v/>
      </c>
      <c r="K126" s="33"/>
      <c r="L126" s="4"/>
    </row>
    <row r="127" spans="1:12" x14ac:dyDescent="0.3">
      <c r="A127" s="10"/>
      <c r="B127" s="37" t="str">
        <f t="shared" si="40"/>
        <v/>
      </c>
      <c r="C127" s="10"/>
      <c r="D127" s="41"/>
      <c r="E127" s="43" t="str">
        <f t="shared" si="41"/>
        <v/>
      </c>
      <c r="F127" s="43" t="str">
        <f t="shared" si="42"/>
        <v/>
      </c>
      <c r="G127" s="43" t="str">
        <f t="shared" si="43"/>
        <v/>
      </c>
      <c r="H127" s="43" t="str">
        <f t="shared" si="44"/>
        <v/>
      </c>
      <c r="I127" s="43" t="str">
        <f t="shared" si="45"/>
        <v/>
      </c>
      <c r="J127" s="43" t="str">
        <f t="shared" si="46"/>
        <v/>
      </c>
      <c r="K127" s="33"/>
    </row>
    <row r="128" spans="1:12" x14ac:dyDescent="0.3">
      <c r="A128" s="13" t="s">
        <v>12</v>
      </c>
      <c r="B128" s="13"/>
      <c r="C128" s="13"/>
      <c r="D128" s="44"/>
      <c r="E128" s="45">
        <f>SUM(E109:E127)</f>
        <v>0</v>
      </c>
      <c r="F128" s="45">
        <f>SUM(F109:F127)</f>
        <v>0</v>
      </c>
      <c r="G128" s="45">
        <f>SUM(G109:G127)</f>
        <v>0</v>
      </c>
      <c r="H128" s="45">
        <f>SUM(H109:H127)</f>
        <v>0</v>
      </c>
      <c r="I128" s="45">
        <f t="shared" ref="I128:J128" si="47">SUM(I109:I127)</f>
        <v>0</v>
      </c>
      <c r="J128" s="45">
        <f t="shared" si="47"/>
        <v>0</v>
      </c>
      <c r="K128" s="29"/>
      <c r="L128" s="14"/>
    </row>
    <row r="129" spans="1:12" x14ac:dyDescent="0.3">
      <c r="A129" s="15"/>
      <c r="B129" s="15"/>
      <c r="C129" s="15"/>
      <c r="D129" s="40" t="s">
        <v>21</v>
      </c>
      <c r="E129" s="46"/>
      <c r="F129" s="46"/>
      <c r="G129" s="46"/>
      <c r="H129" s="46"/>
      <c r="I129" s="46"/>
      <c r="J129" s="46"/>
      <c r="K129" s="32"/>
      <c r="L129" s="4"/>
    </row>
    <row r="130" spans="1:12" x14ac:dyDescent="0.3">
      <c r="A130" s="16" t="s">
        <v>9</v>
      </c>
      <c r="B130" s="8"/>
      <c r="C130" s="9"/>
      <c r="D130" s="41">
        <v>0.375</v>
      </c>
      <c r="E130" s="47"/>
      <c r="F130" s="47"/>
      <c r="G130" s="47"/>
      <c r="H130" s="47"/>
      <c r="I130" s="47"/>
      <c r="J130" s="47"/>
      <c r="K130" s="33"/>
      <c r="L130" s="4"/>
    </row>
    <row r="131" spans="1:12" x14ac:dyDescent="0.3">
      <c r="A131" s="10"/>
      <c r="B131" s="37" t="str">
        <f t="shared" ref="B131:B148" si="48">IF(A131="","",INDEX(Number_list,MATCH(A131,Project_list,0)))</f>
        <v/>
      </c>
      <c r="C131" s="10"/>
      <c r="D131" s="41"/>
      <c r="E131" s="43" t="str">
        <f t="shared" ref="E131:E148" si="49">IF($A131="","",IF(LEFT(INDEX(Number_list,MATCH($A131,Project_list,0)),2)="20",$D131-$D130,""))</f>
        <v/>
      </c>
      <c r="F131" s="43" t="str">
        <f t="shared" ref="F131:F148" si="50">IF($A131="","",IF(LEFT(INDEX(Number_list,MATCH($A131,Project_list,0)),2)="NC",$D131-$D130,""))</f>
        <v/>
      </c>
      <c r="G131" s="43" t="str">
        <f t="shared" ref="G131:G148" si="51">IF($A131="","",IF(LEFT(INDEX(Number_list,MATCH($A131,Project_list,0)),5)="admin",$D131-$D130,""))</f>
        <v/>
      </c>
      <c r="H131" s="43" t="str">
        <f>IF($A131="full day holiday",7.5/24,IF($A131="1/2 day holiday",3.75/24,""))</f>
        <v/>
      </c>
      <c r="I131" s="43" t="str">
        <f>IF($A131="bank holiday",7.5/24,"")</f>
        <v/>
      </c>
      <c r="J131" s="43" t="str">
        <f>IF($A131="full day sick",7.5/24,IF($A131="1/2 day sick",3.75/24,""))</f>
        <v/>
      </c>
      <c r="K131" s="33"/>
      <c r="L131" s="4"/>
    </row>
    <row r="132" spans="1:12" x14ac:dyDescent="0.3">
      <c r="A132" s="10"/>
      <c r="B132" s="37" t="str">
        <f t="shared" si="48"/>
        <v/>
      </c>
      <c r="C132" s="10"/>
      <c r="D132" s="41"/>
      <c r="E132" s="43" t="str">
        <f t="shared" si="49"/>
        <v/>
      </c>
      <c r="F132" s="43" t="str">
        <f t="shared" si="50"/>
        <v/>
      </c>
      <c r="G132" s="43" t="str">
        <f t="shared" si="51"/>
        <v/>
      </c>
      <c r="H132" s="43" t="str">
        <f t="shared" ref="H132:H148" si="52">IF($A132="full day holiday",7.5/24,IF($A132="1/2 day holiday",3.75/24,""))</f>
        <v/>
      </c>
      <c r="I132" s="43" t="str">
        <f t="shared" ref="I132:I148" si="53">IF($A132="bank holiday",7.5/24,"")</f>
        <v/>
      </c>
      <c r="J132" s="43" t="str">
        <f>IF($A132="full day sick",7.5/24,IF($A132="1/2 day sick",3.75/24,""))</f>
        <v/>
      </c>
      <c r="K132" s="33"/>
      <c r="L132" s="4"/>
    </row>
    <row r="133" spans="1:12" x14ac:dyDescent="0.3">
      <c r="A133" s="10"/>
      <c r="B133" s="37" t="str">
        <f t="shared" si="48"/>
        <v/>
      </c>
      <c r="C133" s="10"/>
      <c r="D133" s="41"/>
      <c r="E133" s="43" t="str">
        <f t="shared" si="49"/>
        <v/>
      </c>
      <c r="F133" s="43" t="str">
        <f t="shared" si="50"/>
        <v/>
      </c>
      <c r="G133" s="43" t="str">
        <f t="shared" si="51"/>
        <v/>
      </c>
      <c r="H133" s="43" t="str">
        <f t="shared" si="52"/>
        <v/>
      </c>
      <c r="I133" s="43" t="str">
        <f t="shared" si="53"/>
        <v/>
      </c>
      <c r="J133" s="43" t="str">
        <f t="shared" ref="J133:J148" si="54">IF($A133="full day sick",7.5/24,IF($A133="1/2 day sick",3.75/24,""))</f>
        <v/>
      </c>
      <c r="K133" s="33"/>
      <c r="L133" s="4"/>
    </row>
    <row r="134" spans="1:12" x14ac:dyDescent="0.3">
      <c r="A134" s="10"/>
      <c r="B134" s="37" t="str">
        <f t="shared" si="48"/>
        <v/>
      </c>
      <c r="C134" s="10"/>
      <c r="D134" s="41"/>
      <c r="E134" s="43" t="str">
        <f t="shared" si="49"/>
        <v/>
      </c>
      <c r="F134" s="43" t="str">
        <f t="shared" si="50"/>
        <v/>
      </c>
      <c r="G134" s="43" t="str">
        <f t="shared" si="51"/>
        <v/>
      </c>
      <c r="H134" s="43" t="str">
        <f t="shared" si="52"/>
        <v/>
      </c>
      <c r="I134" s="43" t="str">
        <f t="shared" si="53"/>
        <v/>
      </c>
      <c r="J134" s="43" t="str">
        <f t="shared" si="54"/>
        <v/>
      </c>
      <c r="K134" s="33"/>
      <c r="L134" s="4"/>
    </row>
    <row r="135" spans="1:12" x14ac:dyDescent="0.3">
      <c r="A135" s="10"/>
      <c r="B135" s="37" t="str">
        <f t="shared" si="48"/>
        <v/>
      </c>
      <c r="C135" s="10"/>
      <c r="D135" s="41"/>
      <c r="E135" s="43" t="str">
        <f t="shared" si="49"/>
        <v/>
      </c>
      <c r="F135" s="43" t="str">
        <f t="shared" si="50"/>
        <v/>
      </c>
      <c r="G135" s="43" t="str">
        <f t="shared" si="51"/>
        <v/>
      </c>
      <c r="H135" s="43" t="str">
        <f t="shared" si="52"/>
        <v/>
      </c>
      <c r="I135" s="43" t="str">
        <f t="shared" si="53"/>
        <v/>
      </c>
      <c r="J135" s="43" t="str">
        <f t="shared" si="54"/>
        <v/>
      </c>
      <c r="K135" s="33"/>
      <c r="L135" s="4"/>
    </row>
    <row r="136" spans="1:12" x14ac:dyDescent="0.3">
      <c r="A136" s="10"/>
      <c r="B136" s="37" t="str">
        <f t="shared" si="48"/>
        <v/>
      </c>
      <c r="C136" s="10"/>
      <c r="D136" s="41"/>
      <c r="E136" s="43" t="str">
        <f t="shared" si="49"/>
        <v/>
      </c>
      <c r="F136" s="43" t="str">
        <f t="shared" si="50"/>
        <v/>
      </c>
      <c r="G136" s="43" t="str">
        <f t="shared" si="51"/>
        <v/>
      </c>
      <c r="H136" s="43" t="str">
        <f t="shared" si="52"/>
        <v/>
      </c>
      <c r="I136" s="43" t="str">
        <f t="shared" si="53"/>
        <v/>
      </c>
      <c r="J136" s="43" t="str">
        <f t="shared" si="54"/>
        <v/>
      </c>
      <c r="K136" s="33"/>
      <c r="L136" s="4"/>
    </row>
    <row r="137" spans="1:12" x14ac:dyDescent="0.3">
      <c r="A137" s="10"/>
      <c r="B137" s="37" t="str">
        <f t="shared" si="48"/>
        <v/>
      </c>
      <c r="C137" s="10"/>
      <c r="D137" s="41"/>
      <c r="E137" s="43" t="str">
        <f t="shared" si="49"/>
        <v/>
      </c>
      <c r="F137" s="43" t="str">
        <f t="shared" si="50"/>
        <v/>
      </c>
      <c r="G137" s="43" t="str">
        <f t="shared" si="51"/>
        <v/>
      </c>
      <c r="H137" s="43" t="str">
        <f t="shared" si="52"/>
        <v/>
      </c>
      <c r="I137" s="43" t="str">
        <f t="shared" si="53"/>
        <v/>
      </c>
      <c r="J137" s="43" t="str">
        <f t="shared" si="54"/>
        <v/>
      </c>
      <c r="K137" s="33"/>
      <c r="L137" s="4"/>
    </row>
    <row r="138" spans="1:12" x14ac:dyDescent="0.3">
      <c r="A138" s="10"/>
      <c r="B138" s="37" t="str">
        <f t="shared" si="48"/>
        <v/>
      </c>
      <c r="C138" s="10"/>
      <c r="D138" s="41"/>
      <c r="E138" s="43" t="str">
        <f t="shared" si="49"/>
        <v/>
      </c>
      <c r="F138" s="43" t="str">
        <f t="shared" si="50"/>
        <v/>
      </c>
      <c r="G138" s="43" t="str">
        <f t="shared" si="51"/>
        <v/>
      </c>
      <c r="H138" s="43" t="str">
        <f t="shared" si="52"/>
        <v/>
      </c>
      <c r="I138" s="43" t="str">
        <f t="shared" si="53"/>
        <v/>
      </c>
      <c r="J138" s="43" t="str">
        <f t="shared" si="54"/>
        <v/>
      </c>
      <c r="K138" s="33"/>
      <c r="L138" s="4"/>
    </row>
    <row r="139" spans="1:12" x14ac:dyDescent="0.3">
      <c r="A139" s="10"/>
      <c r="B139" s="37" t="str">
        <f t="shared" si="48"/>
        <v/>
      </c>
      <c r="C139" s="10"/>
      <c r="D139" s="41"/>
      <c r="E139" s="43" t="str">
        <f t="shared" si="49"/>
        <v/>
      </c>
      <c r="F139" s="43" t="str">
        <f t="shared" si="50"/>
        <v/>
      </c>
      <c r="G139" s="43" t="str">
        <f t="shared" si="51"/>
        <v/>
      </c>
      <c r="H139" s="43" t="str">
        <f>IF($A139="full day holiday",7.5/24,IF($A139="1/2 day holiday",3.75/24,""))</f>
        <v/>
      </c>
      <c r="I139" s="43" t="str">
        <f t="shared" si="53"/>
        <v/>
      </c>
      <c r="J139" s="43" t="str">
        <f t="shared" si="54"/>
        <v/>
      </c>
      <c r="K139" s="33"/>
      <c r="L139" s="4"/>
    </row>
    <row r="140" spans="1:12" x14ac:dyDescent="0.3">
      <c r="A140" s="10"/>
      <c r="B140" s="37" t="str">
        <f t="shared" si="48"/>
        <v/>
      </c>
      <c r="C140" s="10"/>
      <c r="D140" s="41"/>
      <c r="E140" s="43" t="str">
        <f t="shared" si="49"/>
        <v/>
      </c>
      <c r="F140" s="43" t="str">
        <f t="shared" si="50"/>
        <v/>
      </c>
      <c r="G140" s="43" t="str">
        <f t="shared" si="51"/>
        <v/>
      </c>
      <c r="H140" s="43" t="str">
        <f t="shared" si="52"/>
        <v/>
      </c>
      <c r="I140" s="43" t="str">
        <f t="shared" si="53"/>
        <v/>
      </c>
      <c r="J140" s="43" t="str">
        <f>IF($A140="full day sick",7.5/24,IF($A140="1/2 day sick",3.75/24,""))</f>
        <v/>
      </c>
      <c r="K140" s="33"/>
      <c r="L140" s="4"/>
    </row>
    <row r="141" spans="1:12" x14ac:dyDescent="0.3">
      <c r="A141" s="10"/>
      <c r="B141" s="37" t="str">
        <f t="shared" si="48"/>
        <v/>
      </c>
      <c r="C141" s="10"/>
      <c r="D141" s="41"/>
      <c r="E141" s="43" t="str">
        <f t="shared" si="49"/>
        <v/>
      </c>
      <c r="F141" s="43" t="str">
        <f t="shared" si="50"/>
        <v/>
      </c>
      <c r="G141" s="43" t="str">
        <f t="shared" si="51"/>
        <v/>
      </c>
      <c r="H141" s="43" t="str">
        <f t="shared" si="52"/>
        <v/>
      </c>
      <c r="I141" s="43" t="str">
        <f t="shared" si="53"/>
        <v/>
      </c>
      <c r="J141" s="43" t="str">
        <f t="shared" si="54"/>
        <v/>
      </c>
      <c r="K141" s="33"/>
      <c r="L141" s="4"/>
    </row>
    <row r="142" spans="1:12" x14ac:dyDescent="0.3">
      <c r="A142" s="10"/>
      <c r="B142" s="37" t="str">
        <f t="shared" si="48"/>
        <v/>
      </c>
      <c r="C142" s="10"/>
      <c r="D142" s="41"/>
      <c r="E142" s="43" t="str">
        <f t="shared" si="49"/>
        <v/>
      </c>
      <c r="F142" s="43" t="str">
        <f t="shared" si="50"/>
        <v/>
      </c>
      <c r="G142" s="43" t="str">
        <f t="shared" si="51"/>
        <v/>
      </c>
      <c r="H142" s="43" t="str">
        <f t="shared" si="52"/>
        <v/>
      </c>
      <c r="I142" s="43" t="str">
        <f t="shared" si="53"/>
        <v/>
      </c>
      <c r="J142" s="43" t="str">
        <f t="shared" si="54"/>
        <v/>
      </c>
      <c r="K142" s="33"/>
      <c r="L142" s="4"/>
    </row>
    <row r="143" spans="1:12" x14ac:dyDescent="0.3">
      <c r="A143" s="10"/>
      <c r="B143" s="37" t="str">
        <f t="shared" si="48"/>
        <v/>
      </c>
      <c r="C143" s="10"/>
      <c r="D143" s="41"/>
      <c r="E143" s="43" t="str">
        <f t="shared" si="49"/>
        <v/>
      </c>
      <c r="F143" s="43" t="str">
        <f t="shared" si="50"/>
        <v/>
      </c>
      <c r="G143" s="43" t="str">
        <f t="shared" si="51"/>
        <v/>
      </c>
      <c r="H143" s="43" t="str">
        <f t="shared" si="52"/>
        <v/>
      </c>
      <c r="I143" s="43" t="str">
        <f t="shared" si="53"/>
        <v/>
      </c>
      <c r="J143" s="43" t="str">
        <f t="shared" si="54"/>
        <v/>
      </c>
      <c r="K143" s="33"/>
      <c r="L143" s="4"/>
    </row>
    <row r="144" spans="1:12" x14ac:dyDescent="0.3">
      <c r="A144" s="10"/>
      <c r="B144" s="37" t="str">
        <f t="shared" si="48"/>
        <v/>
      </c>
      <c r="C144" s="10"/>
      <c r="D144" s="41"/>
      <c r="E144" s="43" t="str">
        <f t="shared" si="49"/>
        <v/>
      </c>
      <c r="F144" s="43" t="str">
        <f t="shared" si="50"/>
        <v/>
      </c>
      <c r="G144" s="43" t="str">
        <f t="shared" si="51"/>
        <v/>
      </c>
      <c r="H144" s="43" t="str">
        <f t="shared" si="52"/>
        <v/>
      </c>
      <c r="I144" s="43" t="str">
        <f t="shared" si="53"/>
        <v/>
      </c>
      <c r="J144" s="43" t="str">
        <f t="shared" si="54"/>
        <v/>
      </c>
      <c r="K144" s="33"/>
      <c r="L144" s="4"/>
    </row>
    <row r="145" spans="1:13" x14ac:dyDescent="0.3">
      <c r="A145" s="10"/>
      <c r="B145" s="37" t="str">
        <f t="shared" si="48"/>
        <v/>
      </c>
      <c r="C145" s="10"/>
      <c r="D145" s="41"/>
      <c r="E145" s="43" t="str">
        <f t="shared" si="49"/>
        <v/>
      </c>
      <c r="F145" s="43" t="str">
        <f t="shared" si="50"/>
        <v/>
      </c>
      <c r="G145" s="43" t="str">
        <f t="shared" si="51"/>
        <v/>
      </c>
      <c r="H145" s="43" t="str">
        <f t="shared" si="52"/>
        <v/>
      </c>
      <c r="I145" s="43" t="str">
        <f t="shared" si="53"/>
        <v/>
      </c>
      <c r="J145" s="43" t="str">
        <f t="shared" si="54"/>
        <v/>
      </c>
      <c r="K145" s="33"/>
      <c r="L145" s="4"/>
    </row>
    <row r="146" spans="1:13" x14ac:dyDescent="0.3">
      <c r="A146" s="10"/>
      <c r="B146" s="37" t="str">
        <f t="shared" si="48"/>
        <v/>
      </c>
      <c r="C146" s="10"/>
      <c r="D146" s="41"/>
      <c r="E146" s="43" t="str">
        <f t="shared" si="49"/>
        <v/>
      </c>
      <c r="F146" s="43" t="str">
        <f t="shared" si="50"/>
        <v/>
      </c>
      <c r="G146" s="43" t="str">
        <f t="shared" si="51"/>
        <v/>
      </c>
      <c r="H146" s="43" t="str">
        <f t="shared" si="52"/>
        <v/>
      </c>
      <c r="I146" s="43" t="str">
        <f t="shared" si="53"/>
        <v/>
      </c>
      <c r="J146" s="43" t="str">
        <f t="shared" si="54"/>
        <v/>
      </c>
      <c r="K146" s="33"/>
      <c r="L146" s="4"/>
    </row>
    <row r="147" spans="1:13" x14ac:dyDescent="0.3">
      <c r="A147" s="10"/>
      <c r="B147" s="37" t="str">
        <f t="shared" si="48"/>
        <v/>
      </c>
      <c r="C147" s="10"/>
      <c r="D147" s="41"/>
      <c r="E147" s="43" t="str">
        <f t="shared" si="49"/>
        <v/>
      </c>
      <c r="F147" s="43" t="str">
        <f t="shared" si="50"/>
        <v/>
      </c>
      <c r="G147" s="43" t="str">
        <f t="shared" si="51"/>
        <v/>
      </c>
      <c r="H147" s="43" t="str">
        <f t="shared" si="52"/>
        <v/>
      </c>
      <c r="I147" s="43" t="str">
        <f t="shared" si="53"/>
        <v/>
      </c>
      <c r="J147" s="43" t="str">
        <f t="shared" si="54"/>
        <v/>
      </c>
      <c r="K147" s="33"/>
      <c r="L147" s="4"/>
    </row>
    <row r="148" spans="1:13" x14ac:dyDescent="0.3">
      <c r="A148" s="10"/>
      <c r="B148" s="37" t="str">
        <f t="shared" si="48"/>
        <v/>
      </c>
      <c r="C148" s="10"/>
      <c r="D148" s="41"/>
      <c r="E148" s="43" t="str">
        <f t="shared" si="49"/>
        <v/>
      </c>
      <c r="F148" s="43" t="str">
        <f t="shared" si="50"/>
        <v/>
      </c>
      <c r="G148" s="43" t="str">
        <f t="shared" si="51"/>
        <v/>
      </c>
      <c r="H148" s="43" t="str">
        <f t="shared" si="52"/>
        <v/>
      </c>
      <c r="I148" s="43" t="str">
        <f t="shared" si="53"/>
        <v/>
      </c>
      <c r="J148" s="43" t="str">
        <f t="shared" si="54"/>
        <v/>
      </c>
      <c r="K148" s="33"/>
    </row>
    <row r="149" spans="1:13" x14ac:dyDescent="0.3">
      <c r="A149" s="13" t="s">
        <v>12</v>
      </c>
      <c r="B149" s="13"/>
      <c r="C149" s="13"/>
      <c r="D149" s="44"/>
      <c r="E149" s="45">
        <f>SUM(E130:E148)</f>
        <v>0</v>
      </c>
      <c r="F149" s="45">
        <f>SUM(F130:F148)</f>
        <v>0</v>
      </c>
      <c r="G149" s="45">
        <f>SUM(G130:G148)</f>
        <v>0</v>
      </c>
      <c r="H149" s="45">
        <f>SUM(H130:H148)</f>
        <v>0</v>
      </c>
      <c r="I149" s="45">
        <f t="shared" ref="I149:J149" si="55">SUM(I130:I148)</f>
        <v>0</v>
      </c>
      <c r="J149" s="45">
        <f t="shared" si="55"/>
        <v>0</v>
      </c>
      <c r="K149" s="29"/>
      <c r="L149" s="14"/>
    </row>
    <row r="150" spans="1:13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L150" s="6"/>
      <c r="M150" s="6"/>
    </row>
    <row r="151" spans="1:13" ht="31.2" x14ac:dyDescent="0.3">
      <c r="A151" s="6" t="s">
        <v>15</v>
      </c>
      <c r="B151" s="15"/>
      <c r="C151" s="15"/>
      <c r="D151" s="15"/>
      <c r="E151" s="5" t="str">
        <f>E3</f>
        <v>Projects</v>
      </c>
      <c r="F151" s="5" t="str">
        <f>F3</f>
        <v>Non-chargeable</v>
      </c>
      <c r="G151" s="5"/>
      <c r="H151" s="5" t="s">
        <v>6</v>
      </c>
      <c r="I151" s="5" t="s">
        <v>7</v>
      </c>
      <c r="J151" s="5" t="s">
        <v>8</v>
      </c>
      <c r="K151" s="28"/>
      <c r="L151" s="5" t="s">
        <v>16</v>
      </c>
      <c r="M151" s="5" t="s">
        <v>17</v>
      </c>
    </row>
    <row r="152" spans="1:13" x14ac:dyDescent="0.3">
      <c r="D152" s="12"/>
      <c r="E152" s="12">
        <f>E23+E44+E65+E86+E107+E128+E149</f>
        <v>0</v>
      </c>
      <c r="F152" s="12">
        <f>F23+F44+F65+F86+F107+F128+F149</f>
        <v>0</v>
      </c>
      <c r="G152" s="12">
        <f>G23+G44+G65+G86+G107+G128+G149</f>
        <v>0</v>
      </c>
      <c r="H152" s="12">
        <f>H23+H44+H65+H86+H107+H128+H149</f>
        <v>0</v>
      </c>
      <c r="I152" s="12">
        <f t="shared" ref="I152:J152" si="56">I23+I44+I65+I86+I107+I128+I149</f>
        <v>0</v>
      </c>
      <c r="J152" s="12">
        <f t="shared" si="56"/>
        <v>0</v>
      </c>
      <c r="K152" s="26"/>
      <c r="L152" s="12">
        <f>E152</f>
        <v>0</v>
      </c>
      <c r="M152" s="12">
        <f>E152+F152+G152</f>
        <v>0</v>
      </c>
    </row>
    <row r="154" spans="1:13" ht="35.4" customHeight="1" x14ac:dyDescent="0.3"/>
    <row r="155" spans="1:13" x14ac:dyDescent="0.3">
      <c r="D155" s="1"/>
      <c r="L155" s="17"/>
    </row>
    <row r="156" spans="1:13" x14ac:dyDescent="0.3">
      <c r="D156" s="1"/>
      <c r="L156" s="17"/>
    </row>
    <row r="157" spans="1:13" x14ac:dyDescent="0.3">
      <c r="F157" s="17"/>
      <c r="G157" s="17"/>
    </row>
    <row r="158" spans="1:13" x14ac:dyDescent="0.3">
      <c r="F158" s="17"/>
      <c r="G158" s="17"/>
    </row>
    <row r="159" spans="1:13" x14ac:dyDescent="0.3">
      <c r="F159" s="17"/>
      <c r="G159" s="17"/>
    </row>
  </sheetData>
  <dataValidations count="3">
    <dataValidation type="list" allowBlank="1" showDropDown="1" showInputMessage="1" showErrorMessage="1" sqref="A5:A6" xr:uid="{96207873-3DB3-467A-97DE-FFC8A1DE4167}">
      <formula1>Project_list</formula1>
    </dataValidation>
    <dataValidation type="list" allowBlank="1" showInputMessage="1" showErrorMessage="1" sqref="A131:A148 A26:A43 A47:A64 A68:A85 A89:A106 A110:A127 A7:A22" xr:uid="{4322AABF-30D6-4107-B090-F0D14EED4244}">
      <formula1>Project_list</formula1>
    </dataValidation>
    <dataValidation type="list" allowBlank="1" showInputMessage="1" showErrorMessage="1" sqref="A25 A46 A67 A88 A109 A130" xr:uid="{7EBA8B01-EBEF-45D2-8B21-415E87597E84}">
      <formula1>Project_table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35842" r:id="rId4" name="TempCombo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0</xdr:rowOff>
              </from>
              <to>
                <xdr:col>0</xdr:col>
                <xdr:colOff>129540</xdr:colOff>
                <xdr:row>1</xdr:row>
                <xdr:rowOff>60960</xdr:rowOff>
              </to>
            </anchor>
          </controlPr>
        </control>
      </mc:Choice>
      <mc:Fallback>
        <control shapeId="35842" r:id="rId4" name="TempCombo"/>
      </mc:Fallback>
    </mc:AlternateContent>
    <mc:AlternateContent xmlns:mc="http://schemas.openxmlformats.org/markup-compatibility/2006">
      <mc:Choice Requires="x14">
        <control shapeId="35843" r:id="rId6" name="Button 3">
          <controlPr defaultSize="0" print="0" autoFill="0" autoPict="0" macro="[0]!Transfer_Timesheet">
            <anchor moveWithCells="1" sizeWithCells="1">
              <from>
                <xdr:col>13</xdr:col>
                <xdr:colOff>60960</xdr:colOff>
                <xdr:row>153</xdr:row>
                <xdr:rowOff>99060</xdr:rowOff>
              </from>
              <to>
                <xdr:col>13</xdr:col>
                <xdr:colOff>1630680</xdr:colOff>
                <xdr:row>153</xdr:row>
                <xdr:rowOff>350520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/>
  <dimension ref="A1:M160"/>
  <sheetViews>
    <sheetView topLeftCell="A113" zoomScale="85" zoomScaleNormal="85" workbookViewId="0">
      <selection activeCell="J14" sqref="J14"/>
    </sheetView>
  </sheetViews>
  <sheetFormatPr defaultColWidth="11.19921875" defaultRowHeight="15.6" x14ac:dyDescent="0.3"/>
  <cols>
    <col min="1" max="1" width="29.19921875" customWidth="1"/>
    <col min="2" max="2" width="15.69921875" customWidth="1"/>
    <col min="3" max="3" width="14.69921875" bestFit="1" customWidth="1"/>
    <col min="4" max="4" width="10.5" customWidth="1"/>
    <col min="5" max="6" width="14.8984375" customWidth="1"/>
    <col min="7" max="7" width="13.8984375" customWidth="1"/>
    <col min="8" max="8" width="10.19921875" customWidth="1"/>
    <col min="9" max="9" width="12.69921875" customWidth="1"/>
    <col min="10" max="10" width="10.19921875" customWidth="1"/>
    <col min="11" max="11" width="17.796875" style="27" hidden="1" customWidth="1"/>
    <col min="14" max="14" width="22.3984375" customWidth="1"/>
  </cols>
  <sheetData>
    <row r="1" spans="1:12" ht="87.6" customHeight="1" x14ac:dyDescent="0.3">
      <c r="K1" s="30" t="s">
        <v>25</v>
      </c>
    </row>
    <row r="2" spans="1:12" x14ac:dyDescent="0.3">
      <c r="A2" s="48" t="s">
        <v>18</v>
      </c>
      <c r="B2" s="49" t="s">
        <v>30</v>
      </c>
      <c r="C2" s="1"/>
    </row>
    <row r="3" spans="1:12" x14ac:dyDescent="0.3">
      <c r="A3" s="25">
        <v>3</v>
      </c>
      <c r="B3" s="2">
        <v>44207</v>
      </c>
      <c r="C3" s="3"/>
      <c r="L3" s="4"/>
    </row>
    <row r="4" spans="1:12" ht="44.4" customHeight="1" x14ac:dyDescent="0.3">
      <c r="A4" s="38" t="s">
        <v>0</v>
      </c>
      <c r="B4" s="38" t="s">
        <v>1</v>
      </c>
      <c r="C4" s="38" t="s">
        <v>2</v>
      </c>
      <c r="D4" s="40" t="s">
        <v>3</v>
      </c>
      <c r="E4" s="39" t="s">
        <v>4</v>
      </c>
      <c r="F4" s="39" t="s">
        <v>5</v>
      </c>
      <c r="G4" s="39" t="s">
        <v>28</v>
      </c>
      <c r="H4" s="39" t="s">
        <v>6</v>
      </c>
      <c r="I4" s="39" t="s">
        <v>7</v>
      </c>
      <c r="J4" s="39" t="s">
        <v>8</v>
      </c>
      <c r="K4" s="31"/>
      <c r="L4" s="4"/>
    </row>
    <row r="5" spans="1:12" x14ac:dyDescent="0.3">
      <c r="A5" s="7" t="s">
        <v>9</v>
      </c>
      <c r="B5" s="8"/>
      <c r="C5" s="9"/>
      <c r="D5" s="41">
        <v>0.375</v>
      </c>
      <c r="E5" s="42"/>
      <c r="F5" s="42"/>
      <c r="G5" s="42"/>
      <c r="H5" s="42"/>
      <c r="I5" s="42"/>
      <c r="J5" s="42"/>
      <c r="K5" s="32"/>
    </row>
    <row r="6" spans="1:12" x14ac:dyDescent="0.3">
      <c r="A6" s="10"/>
      <c r="B6" s="37" t="str">
        <f>IF(A6="","",INDEX(Number_list,MATCH(A6,Project_list,0)))</f>
        <v/>
      </c>
      <c r="C6" s="10"/>
      <c r="D6" s="41"/>
      <c r="E6" s="43" t="str">
        <f t="shared" ref="E6:E23" si="0">IF($A6="","",IF(LEFT(INDEX(Number_list,MATCH($A6,Project_list,0)),2)="20",$D6-$D5,""))</f>
        <v/>
      </c>
      <c r="F6" s="43" t="str">
        <f t="shared" ref="F6:F23" si="1">IF($A6="","",IF(LEFT(INDEX(Number_list,MATCH($A6,Project_list,0)),2)="NC",$D6-$D5,""))</f>
        <v/>
      </c>
      <c r="G6" s="43" t="str">
        <f t="shared" ref="G6:G23" si="2">IF($A6="","",IF(LEFT(INDEX(Number_list,MATCH($A6,Project_list,0)),5)="admin",$D6-$D5,""))</f>
        <v/>
      </c>
      <c r="H6" s="43" t="str">
        <f>IF($A6="full day holiday",7.5/24,IF($A6="1/2 day holiday",3.75/24,""))</f>
        <v/>
      </c>
      <c r="I6" s="43" t="str">
        <f>IF($A6="bank holiday",7.5/24,"")</f>
        <v/>
      </c>
      <c r="J6" s="43" t="str">
        <f>IF($A6="full day sick",7.5/24,IF($A6="1/2 day sick",3.75/24,""))</f>
        <v/>
      </c>
      <c r="K6" s="11" t="str">
        <f>IF($A6="","",IF(LEFT(INDEX(Number_list,MATCH($A6,Project_list,0)),5)="admin",$D6-$D5,""))</f>
        <v/>
      </c>
    </row>
    <row r="7" spans="1:12" x14ac:dyDescent="0.3">
      <c r="A7" s="10"/>
      <c r="B7" s="37" t="str">
        <f t="shared" ref="B7:B23" si="3">IF(A7="","",INDEX(Number_list,MATCH(A7,Project_list,0)))</f>
        <v/>
      </c>
      <c r="C7" s="10"/>
      <c r="D7" s="41"/>
      <c r="E7" s="43" t="str">
        <f t="shared" si="0"/>
        <v/>
      </c>
      <c r="F7" s="43" t="str">
        <f t="shared" si="1"/>
        <v/>
      </c>
      <c r="G7" s="43" t="str">
        <f t="shared" si="2"/>
        <v/>
      </c>
      <c r="H7" s="43" t="str">
        <f t="shared" ref="H7:H23" si="4">IF($A7="full day holiday",7.5/24,IF($A7="1/2 day holiday",3.75/24,""))</f>
        <v/>
      </c>
      <c r="I7" s="43" t="str">
        <f t="shared" ref="I7:I23" si="5">IF($A7="bank holiday",7.5/24,"")</f>
        <v/>
      </c>
      <c r="J7" s="43" t="str">
        <f>IF($A7="full day sick",7.5/24,IF($A7="1/2 day sick",3.75/24,""))</f>
        <v/>
      </c>
      <c r="K7" s="33"/>
    </row>
    <row r="8" spans="1:12" x14ac:dyDescent="0.3">
      <c r="A8" s="10"/>
      <c r="B8" s="37" t="str">
        <f t="shared" si="3"/>
        <v/>
      </c>
      <c r="C8" s="10"/>
      <c r="D8" s="41"/>
      <c r="E8" s="43" t="str">
        <f t="shared" si="0"/>
        <v/>
      </c>
      <c r="F8" s="43" t="str">
        <f t="shared" si="1"/>
        <v/>
      </c>
      <c r="G8" s="43" t="str">
        <f t="shared" si="2"/>
        <v/>
      </c>
      <c r="H8" s="43" t="str">
        <f t="shared" si="4"/>
        <v/>
      </c>
      <c r="I8" s="43" t="str">
        <f t="shared" si="5"/>
        <v/>
      </c>
      <c r="J8" s="43" t="str">
        <f t="shared" ref="J8:J23" si="6">IF($A8="full day sick",7.5/24,IF($A8="1/2 day sick",3.75/24,""))</f>
        <v/>
      </c>
      <c r="K8" s="33"/>
    </row>
    <row r="9" spans="1:12" x14ac:dyDescent="0.3">
      <c r="A9" s="10"/>
      <c r="B9" s="37" t="str">
        <f t="shared" si="3"/>
        <v/>
      </c>
      <c r="C9" s="10"/>
      <c r="D9" s="41"/>
      <c r="E9" s="43" t="str">
        <f t="shared" si="0"/>
        <v/>
      </c>
      <c r="F9" s="43" t="str">
        <f t="shared" si="1"/>
        <v/>
      </c>
      <c r="G9" s="43" t="str">
        <f t="shared" si="2"/>
        <v/>
      </c>
      <c r="H9" s="43" t="str">
        <f t="shared" si="4"/>
        <v/>
      </c>
      <c r="I9" s="43" t="str">
        <f t="shared" si="5"/>
        <v/>
      </c>
      <c r="J9" s="43" t="str">
        <f t="shared" si="6"/>
        <v/>
      </c>
      <c r="K9" s="33"/>
    </row>
    <row r="10" spans="1:12" x14ac:dyDescent="0.3">
      <c r="A10" s="10"/>
      <c r="B10" s="37" t="str">
        <f>IF(A10="","",INDEX(Number_list,MATCH(A10,Project_list,0)))</f>
        <v/>
      </c>
      <c r="C10" s="10"/>
      <c r="D10" s="41"/>
      <c r="E10" s="43" t="str">
        <f t="shared" si="0"/>
        <v/>
      </c>
      <c r="F10" s="43" t="str">
        <f t="shared" si="1"/>
        <v/>
      </c>
      <c r="G10" s="43" t="str">
        <f t="shared" si="2"/>
        <v/>
      </c>
      <c r="H10" s="43" t="str">
        <f t="shared" si="4"/>
        <v/>
      </c>
      <c r="I10" s="43" t="str">
        <f t="shared" si="5"/>
        <v/>
      </c>
      <c r="J10" s="43" t="str">
        <f t="shared" si="6"/>
        <v/>
      </c>
      <c r="K10" s="33"/>
    </row>
    <row r="11" spans="1:12" x14ac:dyDescent="0.3">
      <c r="A11" s="10"/>
      <c r="B11" s="37" t="str">
        <f t="shared" si="3"/>
        <v/>
      </c>
      <c r="C11" s="10"/>
      <c r="D11" s="41"/>
      <c r="E11" s="43" t="str">
        <f t="shared" si="0"/>
        <v/>
      </c>
      <c r="F11" s="43" t="str">
        <f t="shared" si="1"/>
        <v/>
      </c>
      <c r="G11" s="43" t="str">
        <f t="shared" si="2"/>
        <v/>
      </c>
      <c r="H11" s="43" t="str">
        <f t="shared" si="4"/>
        <v/>
      </c>
      <c r="I11" s="43" t="str">
        <f t="shared" si="5"/>
        <v/>
      </c>
      <c r="J11" s="43" t="str">
        <f t="shared" si="6"/>
        <v/>
      </c>
      <c r="K11" s="33"/>
    </row>
    <row r="12" spans="1:12" x14ac:dyDescent="0.3">
      <c r="A12" s="10"/>
      <c r="B12" s="37" t="str">
        <f t="shared" si="3"/>
        <v/>
      </c>
      <c r="C12" s="10"/>
      <c r="D12" s="41"/>
      <c r="E12" s="43" t="str">
        <f t="shared" si="0"/>
        <v/>
      </c>
      <c r="F12" s="43" t="str">
        <f t="shared" si="1"/>
        <v/>
      </c>
      <c r="G12" s="43" t="str">
        <f t="shared" si="2"/>
        <v/>
      </c>
      <c r="H12" s="43" t="str">
        <f t="shared" si="4"/>
        <v/>
      </c>
      <c r="I12" s="43" t="str">
        <f t="shared" si="5"/>
        <v/>
      </c>
      <c r="J12" s="43" t="str">
        <f t="shared" si="6"/>
        <v/>
      </c>
      <c r="K12" s="33"/>
    </row>
    <row r="13" spans="1:12" x14ac:dyDescent="0.3">
      <c r="A13" s="10"/>
      <c r="B13" s="37" t="str">
        <f t="shared" si="3"/>
        <v/>
      </c>
      <c r="C13" s="10"/>
      <c r="D13" s="41"/>
      <c r="E13" s="43" t="str">
        <f t="shared" si="0"/>
        <v/>
      </c>
      <c r="F13" s="43" t="str">
        <f t="shared" si="1"/>
        <v/>
      </c>
      <c r="G13" s="43" t="str">
        <f t="shared" si="2"/>
        <v/>
      </c>
      <c r="H13" s="43" t="str">
        <f t="shared" si="4"/>
        <v/>
      </c>
      <c r="I13" s="43" t="str">
        <f t="shared" si="5"/>
        <v/>
      </c>
      <c r="J13" s="43" t="str">
        <f t="shared" si="6"/>
        <v/>
      </c>
      <c r="K13" s="33"/>
    </row>
    <row r="14" spans="1:12" x14ac:dyDescent="0.3">
      <c r="A14" s="10"/>
      <c r="B14" s="37" t="str">
        <f t="shared" si="3"/>
        <v/>
      </c>
      <c r="C14" s="10"/>
      <c r="D14" s="41"/>
      <c r="E14" s="43" t="str">
        <f t="shared" si="0"/>
        <v/>
      </c>
      <c r="F14" s="43" t="str">
        <f t="shared" si="1"/>
        <v/>
      </c>
      <c r="G14" s="43" t="str">
        <f t="shared" si="2"/>
        <v/>
      </c>
      <c r="H14" s="43" t="str">
        <f t="shared" si="4"/>
        <v/>
      </c>
      <c r="I14" s="43" t="str">
        <f t="shared" si="5"/>
        <v/>
      </c>
      <c r="J14" s="43" t="str">
        <f t="shared" si="6"/>
        <v/>
      </c>
      <c r="K14" s="33"/>
    </row>
    <row r="15" spans="1:12" x14ac:dyDescent="0.3">
      <c r="A15" s="10"/>
      <c r="B15" s="37" t="str">
        <f t="shared" si="3"/>
        <v/>
      </c>
      <c r="C15" s="10"/>
      <c r="D15" s="41"/>
      <c r="E15" s="43" t="str">
        <f t="shared" si="0"/>
        <v/>
      </c>
      <c r="F15" s="43" t="str">
        <f t="shared" si="1"/>
        <v/>
      </c>
      <c r="G15" s="43" t="str">
        <f t="shared" si="2"/>
        <v/>
      </c>
      <c r="H15" s="43" t="str">
        <f t="shared" si="4"/>
        <v/>
      </c>
      <c r="I15" s="43" t="str">
        <f t="shared" si="5"/>
        <v/>
      </c>
      <c r="J15" s="43" t="str">
        <f t="shared" si="6"/>
        <v/>
      </c>
      <c r="K15" s="33"/>
    </row>
    <row r="16" spans="1:12" x14ac:dyDescent="0.3">
      <c r="A16" s="10"/>
      <c r="B16" s="37" t="str">
        <f t="shared" si="3"/>
        <v/>
      </c>
      <c r="C16" s="10"/>
      <c r="D16" s="41"/>
      <c r="E16" s="43" t="str">
        <f t="shared" si="0"/>
        <v/>
      </c>
      <c r="F16" s="43" t="str">
        <f t="shared" si="1"/>
        <v/>
      </c>
      <c r="G16" s="43" t="str">
        <f t="shared" si="2"/>
        <v/>
      </c>
      <c r="H16" s="43" t="str">
        <f t="shared" si="4"/>
        <v/>
      </c>
      <c r="I16" s="43" t="str">
        <f t="shared" si="5"/>
        <v/>
      </c>
      <c r="J16" s="43" t="str">
        <f t="shared" si="6"/>
        <v/>
      </c>
      <c r="K16" s="33"/>
    </row>
    <row r="17" spans="1:12" x14ac:dyDescent="0.3">
      <c r="A17" s="10"/>
      <c r="B17" s="37" t="str">
        <f t="shared" si="3"/>
        <v/>
      </c>
      <c r="C17" s="10"/>
      <c r="D17" s="41"/>
      <c r="E17" s="43" t="str">
        <f t="shared" si="0"/>
        <v/>
      </c>
      <c r="F17" s="43" t="str">
        <f t="shared" si="1"/>
        <v/>
      </c>
      <c r="G17" s="43" t="str">
        <f t="shared" si="2"/>
        <v/>
      </c>
      <c r="H17" s="43" t="str">
        <f t="shared" si="4"/>
        <v/>
      </c>
      <c r="I17" s="43" t="str">
        <f t="shared" si="5"/>
        <v/>
      </c>
      <c r="J17" s="43" t="str">
        <f t="shared" si="6"/>
        <v/>
      </c>
      <c r="K17" s="33"/>
    </row>
    <row r="18" spans="1:12" x14ac:dyDescent="0.3">
      <c r="A18" s="10"/>
      <c r="B18" s="37" t="str">
        <f t="shared" si="3"/>
        <v/>
      </c>
      <c r="C18" s="10"/>
      <c r="D18" s="41"/>
      <c r="E18" s="43" t="str">
        <f t="shared" si="0"/>
        <v/>
      </c>
      <c r="F18" s="43" t="str">
        <f t="shared" si="1"/>
        <v/>
      </c>
      <c r="G18" s="43" t="str">
        <f t="shared" si="2"/>
        <v/>
      </c>
      <c r="H18" s="43" t="str">
        <f t="shared" si="4"/>
        <v/>
      </c>
      <c r="I18" s="43" t="str">
        <f t="shared" si="5"/>
        <v/>
      </c>
      <c r="J18" s="43" t="str">
        <f t="shared" si="6"/>
        <v/>
      </c>
      <c r="K18" s="33"/>
    </row>
    <row r="19" spans="1:12" x14ac:dyDescent="0.3">
      <c r="A19" s="10"/>
      <c r="B19" s="37" t="str">
        <f t="shared" si="3"/>
        <v/>
      </c>
      <c r="C19" s="10"/>
      <c r="D19" s="41"/>
      <c r="E19" s="43" t="str">
        <f t="shared" si="0"/>
        <v/>
      </c>
      <c r="F19" s="43" t="str">
        <f t="shared" si="1"/>
        <v/>
      </c>
      <c r="G19" s="43" t="str">
        <f t="shared" si="2"/>
        <v/>
      </c>
      <c r="H19" s="43" t="str">
        <f t="shared" si="4"/>
        <v/>
      </c>
      <c r="I19" s="43" t="str">
        <f t="shared" si="5"/>
        <v/>
      </c>
      <c r="J19" s="43" t="str">
        <f t="shared" si="6"/>
        <v/>
      </c>
      <c r="K19" s="33"/>
    </row>
    <row r="20" spans="1:12" x14ac:dyDescent="0.3">
      <c r="A20" s="10"/>
      <c r="B20" s="37" t="str">
        <f t="shared" si="3"/>
        <v/>
      </c>
      <c r="C20" s="10"/>
      <c r="D20" s="41"/>
      <c r="E20" s="43" t="str">
        <f t="shared" si="0"/>
        <v/>
      </c>
      <c r="F20" s="43" t="str">
        <f t="shared" si="1"/>
        <v/>
      </c>
      <c r="G20" s="43" t="str">
        <f t="shared" si="2"/>
        <v/>
      </c>
      <c r="H20" s="43" t="str">
        <f t="shared" si="4"/>
        <v/>
      </c>
      <c r="I20" s="43" t="str">
        <f t="shared" si="5"/>
        <v/>
      </c>
      <c r="J20" s="43" t="str">
        <f t="shared" si="6"/>
        <v/>
      </c>
      <c r="K20" s="33"/>
    </row>
    <row r="21" spans="1:12" x14ac:dyDescent="0.3">
      <c r="A21" s="10"/>
      <c r="B21" s="37" t="str">
        <f t="shared" si="3"/>
        <v/>
      </c>
      <c r="C21" s="10"/>
      <c r="D21" s="41"/>
      <c r="E21" s="43" t="str">
        <f t="shared" si="0"/>
        <v/>
      </c>
      <c r="F21" s="43" t="str">
        <f t="shared" si="1"/>
        <v/>
      </c>
      <c r="G21" s="43" t="str">
        <f t="shared" si="2"/>
        <v/>
      </c>
      <c r="H21" s="43" t="str">
        <f t="shared" si="4"/>
        <v/>
      </c>
      <c r="I21" s="43" t="str">
        <f t="shared" si="5"/>
        <v/>
      </c>
      <c r="J21" s="43" t="str">
        <f t="shared" si="6"/>
        <v/>
      </c>
      <c r="K21" s="33"/>
    </row>
    <row r="22" spans="1:12" x14ac:dyDescent="0.3">
      <c r="A22" s="10"/>
      <c r="B22" s="37" t="str">
        <f t="shared" si="3"/>
        <v/>
      </c>
      <c r="C22" s="10"/>
      <c r="D22" s="41"/>
      <c r="E22" s="43" t="str">
        <f t="shared" si="0"/>
        <v/>
      </c>
      <c r="F22" s="43" t="str">
        <f t="shared" si="1"/>
        <v/>
      </c>
      <c r="G22" s="43" t="str">
        <f t="shared" si="2"/>
        <v/>
      </c>
      <c r="H22" s="43" t="str">
        <f t="shared" si="4"/>
        <v/>
      </c>
      <c r="I22" s="43" t="str">
        <f t="shared" si="5"/>
        <v/>
      </c>
      <c r="J22" s="43" t="str">
        <f t="shared" si="6"/>
        <v/>
      </c>
      <c r="K22" s="33"/>
    </row>
    <row r="23" spans="1:12" x14ac:dyDescent="0.3">
      <c r="A23" s="10"/>
      <c r="B23" s="37" t="str">
        <f t="shared" si="3"/>
        <v/>
      </c>
      <c r="C23" s="10"/>
      <c r="D23" s="41"/>
      <c r="E23" s="43" t="str">
        <f t="shared" si="0"/>
        <v/>
      </c>
      <c r="F23" s="43" t="str">
        <f t="shared" si="1"/>
        <v/>
      </c>
      <c r="G23" s="43" t="str">
        <f t="shared" si="2"/>
        <v/>
      </c>
      <c r="H23" s="43" t="str">
        <f t="shared" si="4"/>
        <v/>
      </c>
      <c r="I23" s="43" t="str">
        <f t="shared" si="5"/>
        <v/>
      </c>
      <c r="J23" s="43" t="str">
        <f t="shared" si="6"/>
        <v/>
      </c>
      <c r="K23" s="33"/>
    </row>
    <row r="24" spans="1:12" x14ac:dyDescent="0.3">
      <c r="A24" s="13" t="s">
        <v>12</v>
      </c>
      <c r="B24" s="13"/>
      <c r="C24" s="13"/>
      <c r="D24" s="44"/>
      <c r="E24" s="45">
        <f>SUM(E5:E23)</f>
        <v>0</v>
      </c>
      <c r="F24" s="45">
        <f>SUM(F5:F23)</f>
        <v>0</v>
      </c>
      <c r="G24" s="45">
        <f>SUM(G5:G23)</f>
        <v>0</v>
      </c>
      <c r="H24" s="45">
        <f>SUM(H5:H23)</f>
        <v>0</v>
      </c>
      <c r="I24" s="45">
        <f t="shared" ref="I24:J24" si="7">SUM(I5:I23)</f>
        <v>0</v>
      </c>
      <c r="J24" s="45">
        <f t="shared" si="7"/>
        <v>0</v>
      </c>
      <c r="K24" s="34"/>
      <c r="L24" s="14"/>
    </row>
    <row r="25" spans="1:12" x14ac:dyDescent="0.3">
      <c r="A25" s="15"/>
      <c r="B25" s="15"/>
      <c r="C25" s="15"/>
      <c r="D25" s="40" t="s">
        <v>10</v>
      </c>
      <c r="E25" s="46"/>
      <c r="F25" s="46"/>
      <c r="G25" s="46"/>
      <c r="H25" s="46"/>
      <c r="I25" s="46"/>
      <c r="J25" s="46"/>
      <c r="K25" s="32"/>
      <c r="L25" s="4"/>
    </row>
    <row r="26" spans="1:12" x14ac:dyDescent="0.3">
      <c r="A26" s="10" t="s">
        <v>9</v>
      </c>
      <c r="B26" s="8"/>
      <c r="C26" s="9"/>
      <c r="D26" s="41">
        <v>0.375</v>
      </c>
      <c r="E26" s="47"/>
      <c r="F26" s="47"/>
      <c r="G26" s="47"/>
      <c r="H26" s="47"/>
      <c r="I26" s="47"/>
      <c r="J26" s="47"/>
      <c r="K26" s="33"/>
      <c r="L26" s="4"/>
    </row>
    <row r="27" spans="1:12" x14ac:dyDescent="0.3">
      <c r="A27" s="10"/>
      <c r="B27" s="37" t="str">
        <f t="shared" ref="B27:B44" si="8">IF(A27="","",INDEX(Number_list,MATCH(A27,Project_list,0)))</f>
        <v/>
      </c>
      <c r="C27" s="10"/>
      <c r="D27" s="41"/>
      <c r="E27" s="43" t="str">
        <f t="shared" ref="E27:E44" si="9">IF($A27="","",IF(LEFT(INDEX(Number_list,MATCH($A27,Project_list,0)),2)="20",$D27-$D26,""))</f>
        <v/>
      </c>
      <c r="F27" s="43" t="str">
        <f t="shared" ref="F27:F44" si="10">IF($A27="","",IF(LEFT(INDEX(Number_list,MATCH($A27,Project_list,0)),2)="NC",$D27-$D26,""))</f>
        <v/>
      </c>
      <c r="G27" s="43" t="str">
        <f t="shared" ref="G27:G44" si="11">IF($A27="","",IF(LEFT(INDEX(Number_list,MATCH($A27,Project_list,0)),5)="admin",$D27-$D26,""))</f>
        <v/>
      </c>
      <c r="H27" s="43" t="str">
        <f>IF($A27="full day holiday",7.5/24,IF($A27="1/2 day holiday",3.75/24,""))</f>
        <v/>
      </c>
      <c r="I27" s="43" t="str">
        <f>IF($A27="bank holiday",7.5/24,"")</f>
        <v/>
      </c>
      <c r="J27" s="43" t="str">
        <f>IF($A27="full day sick",7.5/24,IF($A27="1/2 day sick",3.75/24,""))</f>
        <v/>
      </c>
      <c r="K27" s="33"/>
      <c r="L27" s="4"/>
    </row>
    <row r="28" spans="1:12" x14ac:dyDescent="0.3">
      <c r="A28" s="10"/>
      <c r="B28" s="37" t="str">
        <f t="shared" si="8"/>
        <v/>
      </c>
      <c r="C28" s="10"/>
      <c r="D28" s="41"/>
      <c r="E28" s="43" t="str">
        <f t="shared" si="9"/>
        <v/>
      </c>
      <c r="F28" s="43" t="str">
        <f t="shared" si="10"/>
        <v/>
      </c>
      <c r="G28" s="43" t="str">
        <f t="shared" si="11"/>
        <v/>
      </c>
      <c r="H28" s="43" t="str">
        <f t="shared" ref="H28:H44" si="12">IF($A28="full day holiday",7.5/24,IF($A28="1/2 day holiday",3.75/24,""))</f>
        <v/>
      </c>
      <c r="I28" s="43" t="str">
        <f t="shared" ref="I28:I44" si="13">IF($A28="bank holiday",7.5/24,"")</f>
        <v/>
      </c>
      <c r="J28" s="43" t="str">
        <f>IF($A28="full day sick",7.5/24,IF($A28="1/2 day sick",3.75/24,""))</f>
        <v/>
      </c>
      <c r="K28" s="33"/>
      <c r="L28" s="4"/>
    </row>
    <row r="29" spans="1:12" x14ac:dyDescent="0.3">
      <c r="A29" s="10"/>
      <c r="B29" s="37" t="str">
        <f t="shared" si="8"/>
        <v/>
      </c>
      <c r="C29" s="10"/>
      <c r="D29" s="41"/>
      <c r="E29" s="43" t="str">
        <f t="shared" si="9"/>
        <v/>
      </c>
      <c r="F29" s="43" t="str">
        <f t="shared" si="10"/>
        <v/>
      </c>
      <c r="G29" s="43" t="str">
        <f t="shared" si="11"/>
        <v/>
      </c>
      <c r="H29" s="43" t="str">
        <f t="shared" si="12"/>
        <v/>
      </c>
      <c r="I29" s="43" t="str">
        <f t="shared" si="13"/>
        <v/>
      </c>
      <c r="J29" s="43" t="str">
        <f t="shared" ref="J29:J44" si="14">IF($A29="full day sick",7.5/24,IF($A29="1/2 day sick",3.75/24,""))</f>
        <v/>
      </c>
      <c r="K29" s="33"/>
      <c r="L29" s="4"/>
    </row>
    <row r="30" spans="1:12" x14ac:dyDescent="0.3">
      <c r="A30" s="10"/>
      <c r="B30" s="37" t="str">
        <f t="shared" si="8"/>
        <v/>
      </c>
      <c r="C30" s="10"/>
      <c r="D30" s="41"/>
      <c r="E30" s="43" t="str">
        <f t="shared" si="9"/>
        <v/>
      </c>
      <c r="F30" s="43" t="str">
        <f t="shared" si="10"/>
        <v/>
      </c>
      <c r="G30" s="43" t="str">
        <f t="shared" si="11"/>
        <v/>
      </c>
      <c r="H30" s="43" t="str">
        <f t="shared" si="12"/>
        <v/>
      </c>
      <c r="I30" s="43" t="str">
        <f t="shared" si="13"/>
        <v/>
      </c>
      <c r="J30" s="43" t="str">
        <f t="shared" si="14"/>
        <v/>
      </c>
      <c r="K30" s="33"/>
      <c r="L30" s="4"/>
    </row>
    <row r="31" spans="1:12" x14ac:dyDescent="0.3">
      <c r="A31" s="10"/>
      <c r="B31" s="37" t="str">
        <f t="shared" si="8"/>
        <v/>
      </c>
      <c r="C31" s="10"/>
      <c r="D31" s="41"/>
      <c r="E31" s="43" t="str">
        <f t="shared" si="9"/>
        <v/>
      </c>
      <c r="F31" s="43" t="str">
        <f t="shared" si="10"/>
        <v/>
      </c>
      <c r="G31" s="43" t="str">
        <f t="shared" si="11"/>
        <v/>
      </c>
      <c r="H31" s="43" t="str">
        <f t="shared" si="12"/>
        <v/>
      </c>
      <c r="I31" s="43" t="str">
        <f t="shared" si="13"/>
        <v/>
      </c>
      <c r="J31" s="43" t="str">
        <f t="shared" si="14"/>
        <v/>
      </c>
      <c r="K31" s="33"/>
      <c r="L31" s="4"/>
    </row>
    <row r="32" spans="1:12" x14ac:dyDescent="0.3">
      <c r="A32" s="10"/>
      <c r="B32" s="37" t="str">
        <f t="shared" si="8"/>
        <v/>
      </c>
      <c r="C32" s="10"/>
      <c r="D32" s="41"/>
      <c r="E32" s="43" t="str">
        <f t="shared" si="9"/>
        <v/>
      </c>
      <c r="F32" s="43" t="str">
        <f t="shared" si="10"/>
        <v/>
      </c>
      <c r="G32" s="43" t="str">
        <f t="shared" si="11"/>
        <v/>
      </c>
      <c r="H32" s="43" t="str">
        <f t="shared" si="12"/>
        <v/>
      </c>
      <c r="I32" s="43" t="str">
        <f t="shared" si="13"/>
        <v/>
      </c>
      <c r="J32" s="43" t="str">
        <f t="shared" si="14"/>
        <v/>
      </c>
      <c r="K32" s="33"/>
      <c r="L32" s="4"/>
    </row>
    <row r="33" spans="1:12" x14ac:dyDescent="0.3">
      <c r="A33" s="10"/>
      <c r="B33" s="37" t="str">
        <f t="shared" si="8"/>
        <v/>
      </c>
      <c r="C33" s="10"/>
      <c r="D33" s="41"/>
      <c r="E33" s="43" t="str">
        <f t="shared" si="9"/>
        <v/>
      </c>
      <c r="F33" s="43" t="str">
        <f t="shared" si="10"/>
        <v/>
      </c>
      <c r="G33" s="43" t="str">
        <f t="shared" si="11"/>
        <v/>
      </c>
      <c r="H33" s="43" t="str">
        <f t="shared" si="12"/>
        <v/>
      </c>
      <c r="I33" s="43" t="str">
        <f t="shared" si="13"/>
        <v/>
      </c>
      <c r="J33" s="43" t="str">
        <f t="shared" si="14"/>
        <v/>
      </c>
      <c r="K33" s="33"/>
      <c r="L33" s="4"/>
    </row>
    <row r="34" spans="1:12" x14ac:dyDescent="0.3">
      <c r="A34" s="10"/>
      <c r="B34" s="37" t="str">
        <f t="shared" si="8"/>
        <v/>
      </c>
      <c r="C34" s="10"/>
      <c r="D34" s="41"/>
      <c r="E34" s="43" t="str">
        <f t="shared" si="9"/>
        <v/>
      </c>
      <c r="F34" s="43" t="str">
        <f t="shared" si="10"/>
        <v/>
      </c>
      <c r="G34" s="43" t="str">
        <f t="shared" si="11"/>
        <v/>
      </c>
      <c r="H34" s="43" t="str">
        <f t="shared" si="12"/>
        <v/>
      </c>
      <c r="I34" s="43" t="str">
        <f t="shared" si="13"/>
        <v/>
      </c>
      <c r="J34" s="43" t="str">
        <f t="shared" si="14"/>
        <v/>
      </c>
      <c r="K34" s="33"/>
      <c r="L34" s="4"/>
    </row>
    <row r="35" spans="1:12" x14ac:dyDescent="0.3">
      <c r="A35" s="10"/>
      <c r="B35" s="37" t="str">
        <f t="shared" si="8"/>
        <v/>
      </c>
      <c r="C35" s="10"/>
      <c r="D35" s="41"/>
      <c r="E35" s="43" t="str">
        <f t="shared" si="9"/>
        <v/>
      </c>
      <c r="F35" s="43" t="str">
        <f t="shared" si="10"/>
        <v/>
      </c>
      <c r="G35" s="43" t="str">
        <f t="shared" si="11"/>
        <v/>
      </c>
      <c r="H35" s="43" t="str">
        <f>IF($A35="full day holiday",7.5/24,IF($A35="1/2 day holiday",3.75/24,""))</f>
        <v/>
      </c>
      <c r="I35" s="43" t="str">
        <f t="shared" si="13"/>
        <v/>
      </c>
      <c r="J35" s="43" t="str">
        <f t="shared" si="14"/>
        <v/>
      </c>
      <c r="K35" s="33"/>
      <c r="L35" s="4"/>
    </row>
    <row r="36" spans="1:12" x14ac:dyDescent="0.3">
      <c r="A36" s="10"/>
      <c r="B36" s="37" t="str">
        <f t="shared" si="8"/>
        <v/>
      </c>
      <c r="C36" s="10"/>
      <c r="D36" s="41"/>
      <c r="E36" s="43" t="str">
        <f t="shared" si="9"/>
        <v/>
      </c>
      <c r="F36" s="43" t="str">
        <f t="shared" si="10"/>
        <v/>
      </c>
      <c r="G36" s="43" t="str">
        <f t="shared" si="11"/>
        <v/>
      </c>
      <c r="H36" s="43" t="str">
        <f t="shared" si="12"/>
        <v/>
      </c>
      <c r="I36" s="43" t="str">
        <f t="shared" si="13"/>
        <v/>
      </c>
      <c r="J36" s="43" t="str">
        <f>IF($A36="full day sick",7.5/24,IF($A36="1/2 day sick",3.75/24,""))</f>
        <v/>
      </c>
      <c r="K36" s="33"/>
    </row>
    <row r="37" spans="1:12" x14ac:dyDescent="0.3">
      <c r="A37" s="10"/>
      <c r="B37" s="37" t="str">
        <f t="shared" si="8"/>
        <v/>
      </c>
      <c r="C37" s="10"/>
      <c r="D37" s="41"/>
      <c r="E37" s="43" t="str">
        <f t="shared" si="9"/>
        <v/>
      </c>
      <c r="F37" s="43" t="str">
        <f t="shared" si="10"/>
        <v/>
      </c>
      <c r="G37" s="43" t="str">
        <f t="shared" si="11"/>
        <v/>
      </c>
      <c r="H37" s="43" t="str">
        <f t="shared" si="12"/>
        <v/>
      </c>
      <c r="I37" s="43" t="str">
        <f t="shared" si="13"/>
        <v/>
      </c>
      <c r="J37" s="43" t="str">
        <f t="shared" si="14"/>
        <v/>
      </c>
      <c r="K37" s="33"/>
    </row>
    <row r="38" spans="1:12" x14ac:dyDescent="0.3">
      <c r="A38" s="10"/>
      <c r="B38" s="37" t="str">
        <f t="shared" si="8"/>
        <v/>
      </c>
      <c r="C38" s="10"/>
      <c r="D38" s="41"/>
      <c r="E38" s="43" t="str">
        <f t="shared" si="9"/>
        <v/>
      </c>
      <c r="F38" s="43" t="str">
        <f t="shared" si="10"/>
        <v/>
      </c>
      <c r="G38" s="43" t="str">
        <f t="shared" si="11"/>
        <v/>
      </c>
      <c r="H38" s="43" t="str">
        <f t="shared" si="12"/>
        <v/>
      </c>
      <c r="I38" s="43" t="str">
        <f t="shared" si="13"/>
        <v/>
      </c>
      <c r="J38" s="43" t="str">
        <f t="shared" si="14"/>
        <v/>
      </c>
      <c r="K38" s="33"/>
    </row>
    <row r="39" spans="1:12" x14ac:dyDescent="0.3">
      <c r="A39" s="10"/>
      <c r="B39" s="37" t="str">
        <f t="shared" si="8"/>
        <v/>
      </c>
      <c r="C39" s="10"/>
      <c r="D39" s="41"/>
      <c r="E39" s="43" t="str">
        <f t="shared" si="9"/>
        <v/>
      </c>
      <c r="F39" s="43" t="str">
        <f t="shared" si="10"/>
        <v/>
      </c>
      <c r="G39" s="43" t="str">
        <f t="shared" si="11"/>
        <v/>
      </c>
      <c r="H39" s="43" t="str">
        <f t="shared" si="12"/>
        <v/>
      </c>
      <c r="I39" s="43" t="str">
        <f t="shared" si="13"/>
        <v/>
      </c>
      <c r="J39" s="43" t="str">
        <f t="shared" si="14"/>
        <v/>
      </c>
      <c r="K39" s="33"/>
    </row>
    <row r="40" spans="1:12" x14ac:dyDescent="0.3">
      <c r="A40" s="10"/>
      <c r="B40" s="37" t="str">
        <f t="shared" si="8"/>
        <v/>
      </c>
      <c r="C40" s="10"/>
      <c r="D40" s="41"/>
      <c r="E40" s="43" t="str">
        <f t="shared" si="9"/>
        <v/>
      </c>
      <c r="F40" s="43" t="str">
        <f t="shared" si="10"/>
        <v/>
      </c>
      <c r="G40" s="43" t="str">
        <f t="shared" si="11"/>
        <v/>
      </c>
      <c r="H40" s="43" t="str">
        <f t="shared" si="12"/>
        <v/>
      </c>
      <c r="I40" s="43" t="str">
        <f t="shared" si="13"/>
        <v/>
      </c>
      <c r="J40" s="43" t="str">
        <f t="shared" si="14"/>
        <v/>
      </c>
      <c r="K40" s="33"/>
    </row>
    <row r="41" spans="1:12" x14ac:dyDescent="0.3">
      <c r="A41" s="10"/>
      <c r="B41" s="37" t="str">
        <f t="shared" si="8"/>
        <v/>
      </c>
      <c r="C41" s="10"/>
      <c r="D41" s="41"/>
      <c r="E41" s="43" t="str">
        <f t="shared" si="9"/>
        <v/>
      </c>
      <c r="F41" s="43" t="str">
        <f t="shared" si="10"/>
        <v/>
      </c>
      <c r="G41" s="43" t="str">
        <f t="shared" si="11"/>
        <v/>
      </c>
      <c r="H41" s="43" t="str">
        <f t="shared" si="12"/>
        <v/>
      </c>
      <c r="I41" s="43" t="str">
        <f t="shared" si="13"/>
        <v/>
      </c>
      <c r="J41" s="43" t="str">
        <f t="shared" si="14"/>
        <v/>
      </c>
      <c r="K41" s="33"/>
    </row>
    <row r="42" spans="1:12" x14ac:dyDescent="0.3">
      <c r="A42" s="10"/>
      <c r="B42" s="37" t="str">
        <f t="shared" si="8"/>
        <v/>
      </c>
      <c r="C42" s="10"/>
      <c r="D42" s="41"/>
      <c r="E42" s="43" t="str">
        <f t="shared" si="9"/>
        <v/>
      </c>
      <c r="F42" s="43" t="str">
        <f t="shared" si="10"/>
        <v/>
      </c>
      <c r="G42" s="43" t="str">
        <f t="shared" si="11"/>
        <v/>
      </c>
      <c r="H42" s="43" t="str">
        <f t="shared" si="12"/>
        <v/>
      </c>
      <c r="I42" s="43" t="str">
        <f t="shared" si="13"/>
        <v/>
      </c>
      <c r="J42" s="43" t="str">
        <f t="shared" si="14"/>
        <v/>
      </c>
      <c r="K42" s="33"/>
    </row>
    <row r="43" spans="1:12" x14ac:dyDescent="0.3">
      <c r="A43" s="10"/>
      <c r="B43" s="37" t="str">
        <f t="shared" si="8"/>
        <v/>
      </c>
      <c r="C43" s="10"/>
      <c r="D43" s="41"/>
      <c r="E43" s="43" t="str">
        <f t="shared" si="9"/>
        <v/>
      </c>
      <c r="F43" s="43" t="str">
        <f t="shared" si="10"/>
        <v/>
      </c>
      <c r="G43" s="43" t="str">
        <f t="shared" si="11"/>
        <v/>
      </c>
      <c r="H43" s="43" t="str">
        <f t="shared" si="12"/>
        <v/>
      </c>
      <c r="I43" s="43" t="str">
        <f t="shared" si="13"/>
        <v/>
      </c>
      <c r="J43" s="43" t="str">
        <f t="shared" si="14"/>
        <v/>
      </c>
      <c r="K43" s="33"/>
    </row>
    <row r="44" spans="1:12" x14ac:dyDescent="0.3">
      <c r="A44" s="10"/>
      <c r="B44" s="37" t="str">
        <f t="shared" si="8"/>
        <v/>
      </c>
      <c r="C44" s="10"/>
      <c r="D44" s="41"/>
      <c r="E44" s="43" t="str">
        <f t="shared" si="9"/>
        <v/>
      </c>
      <c r="F44" s="43" t="str">
        <f t="shared" si="10"/>
        <v/>
      </c>
      <c r="G44" s="43" t="str">
        <f t="shared" si="11"/>
        <v/>
      </c>
      <c r="H44" s="43" t="str">
        <f t="shared" si="12"/>
        <v/>
      </c>
      <c r="I44" s="43" t="str">
        <f t="shared" si="13"/>
        <v/>
      </c>
      <c r="J44" s="43" t="str">
        <f t="shared" si="14"/>
        <v/>
      </c>
      <c r="K44" s="33"/>
    </row>
    <row r="45" spans="1:12" x14ac:dyDescent="0.3">
      <c r="A45" s="13" t="s">
        <v>12</v>
      </c>
      <c r="B45" s="13"/>
      <c r="C45" s="13"/>
      <c r="D45" s="44"/>
      <c r="E45" s="45">
        <f>SUM(E26:E44)</f>
        <v>0</v>
      </c>
      <c r="F45" s="45">
        <f>SUM(F26:F44)</f>
        <v>0</v>
      </c>
      <c r="G45" s="45">
        <f>SUM(G26:G44)</f>
        <v>0</v>
      </c>
      <c r="H45" s="45">
        <f>SUM(H26:H44)</f>
        <v>0</v>
      </c>
      <c r="I45" s="45">
        <f t="shared" ref="I45:J45" si="15">SUM(I26:I44)</f>
        <v>0</v>
      </c>
      <c r="J45" s="45">
        <f t="shared" si="15"/>
        <v>0</v>
      </c>
      <c r="K45" s="34"/>
      <c r="L45" s="14"/>
    </row>
    <row r="46" spans="1:12" x14ac:dyDescent="0.3">
      <c r="A46" s="15"/>
      <c r="B46" s="15"/>
      <c r="C46" s="15"/>
      <c r="D46" s="40" t="s">
        <v>11</v>
      </c>
      <c r="E46" s="46"/>
      <c r="F46" s="46"/>
      <c r="G46" s="46"/>
      <c r="H46" s="46"/>
      <c r="I46" s="46"/>
      <c r="J46" s="46"/>
      <c r="K46" s="32"/>
      <c r="L46" s="4"/>
    </row>
    <row r="47" spans="1:12" x14ac:dyDescent="0.3">
      <c r="A47" s="16" t="s">
        <v>9</v>
      </c>
      <c r="B47" s="8"/>
      <c r="C47" s="9"/>
      <c r="D47" s="41">
        <v>0.375</v>
      </c>
      <c r="E47" s="47"/>
      <c r="F47" s="47"/>
      <c r="G47" s="47"/>
      <c r="H47" s="47"/>
      <c r="I47" s="47"/>
      <c r="J47" s="47"/>
      <c r="K47" s="33"/>
      <c r="L47" s="4"/>
    </row>
    <row r="48" spans="1:12" x14ac:dyDescent="0.3">
      <c r="A48" s="10"/>
      <c r="B48" s="37" t="str">
        <f t="shared" ref="B48:B65" si="16">IF(A48="","",INDEX(Number_list,MATCH(A48,Project_list,0)))</f>
        <v/>
      </c>
      <c r="C48" s="10"/>
      <c r="D48" s="41"/>
      <c r="E48" s="43" t="str">
        <f t="shared" ref="E48:E65" si="17">IF($A48="","",IF(LEFT(INDEX(Number_list,MATCH($A48,Project_list,0)),2)="20",$D48-$D47,""))</f>
        <v/>
      </c>
      <c r="F48" s="43" t="str">
        <f t="shared" ref="F48:F65" si="18">IF($A48="","",IF(LEFT(INDEX(Number_list,MATCH($A48,Project_list,0)),2)="NC",$D48-$D47,""))</f>
        <v/>
      </c>
      <c r="G48" s="43" t="str">
        <f t="shared" ref="G48:G65" si="19">IF($A48="","",IF(LEFT(INDEX(Number_list,MATCH($A48,Project_list,0)),5)="admin",$D48-$D47,""))</f>
        <v/>
      </c>
      <c r="H48" s="43" t="str">
        <f>IF($A48="full day holiday",7.5/24,IF($A48="1/2 day holiday",3.75/24,""))</f>
        <v/>
      </c>
      <c r="I48" s="43" t="str">
        <f>IF($A48="bank holiday",7.5/24,"")</f>
        <v/>
      </c>
      <c r="J48" s="43" t="str">
        <f>IF($A48="full day sick",7.5/24,IF($A48="1/2 day sick",3.75/24,""))</f>
        <v/>
      </c>
      <c r="K48" s="33"/>
      <c r="L48" s="4"/>
    </row>
    <row r="49" spans="1:12" x14ac:dyDescent="0.3">
      <c r="A49" s="10"/>
      <c r="B49" s="37" t="str">
        <f t="shared" si="16"/>
        <v/>
      </c>
      <c r="C49" s="10"/>
      <c r="D49" s="41"/>
      <c r="E49" s="43" t="str">
        <f t="shared" si="17"/>
        <v/>
      </c>
      <c r="F49" s="43" t="str">
        <f t="shared" si="18"/>
        <v/>
      </c>
      <c r="G49" s="43" t="str">
        <f t="shared" si="19"/>
        <v/>
      </c>
      <c r="H49" s="43" t="str">
        <f t="shared" ref="H49:H65" si="20">IF($A49="full day holiday",7.5/24,IF($A49="1/2 day holiday",3.75/24,""))</f>
        <v/>
      </c>
      <c r="I49" s="43" t="str">
        <f t="shared" ref="I49:I65" si="21">IF($A49="bank holiday",7.5/24,"")</f>
        <v/>
      </c>
      <c r="J49" s="43" t="str">
        <f>IF($A49="full day sick",7.5/24,IF($A49="1/2 day sick",3.75/24,""))</f>
        <v/>
      </c>
      <c r="K49" s="33"/>
      <c r="L49" s="4"/>
    </row>
    <row r="50" spans="1:12" x14ac:dyDescent="0.3">
      <c r="A50" s="10"/>
      <c r="B50" s="37" t="str">
        <f t="shared" si="16"/>
        <v/>
      </c>
      <c r="C50" s="10"/>
      <c r="D50" s="41"/>
      <c r="E50" s="43" t="str">
        <f t="shared" si="17"/>
        <v/>
      </c>
      <c r="F50" s="43" t="str">
        <f t="shared" si="18"/>
        <v/>
      </c>
      <c r="G50" s="43" t="str">
        <f t="shared" si="19"/>
        <v/>
      </c>
      <c r="H50" s="43" t="str">
        <f t="shared" si="20"/>
        <v/>
      </c>
      <c r="I50" s="43" t="str">
        <f t="shared" si="21"/>
        <v/>
      </c>
      <c r="J50" s="43" t="str">
        <f t="shared" ref="J50:J65" si="22">IF($A50="full day sick",7.5/24,IF($A50="1/2 day sick",3.75/24,""))</f>
        <v/>
      </c>
      <c r="K50" s="33"/>
      <c r="L50" s="4"/>
    </row>
    <row r="51" spans="1:12" x14ac:dyDescent="0.3">
      <c r="A51" s="10"/>
      <c r="B51" s="37" t="str">
        <f t="shared" si="16"/>
        <v/>
      </c>
      <c r="C51" s="10"/>
      <c r="D51" s="41"/>
      <c r="E51" s="43" t="str">
        <f t="shared" si="17"/>
        <v/>
      </c>
      <c r="F51" s="43" t="str">
        <f t="shared" si="18"/>
        <v/>
      </c>
      <c r="G51" s="43" t="str">
        <f t="shared" si="19"/>
        <v/>
      </c>
      <c r="H51" s="43" t="str">
        <f t="shared" si="20"/>
        <v/>
      </c>
      <c r="I51" s="43" t="str">
        <f t="shared" si="21"/>
        <v/>
      </c>
      <c r="J51" s="43" t="str">
        <f t="shared" si="22"/>
        <v/>
      </c>
      <c r="K51" s="33"/>
      <c r="L51" s="4"/>
    </row>
    <row r="52" spans="1:12" x14ac:dyDescent="0.3">
      <c r="A52" s="10"/>
      <c r="B52" s="37" t="str">
        <f t="shared" si="16"/>
        <v/>
      </c>
      <c r="C52" s="10"/>
      <c r="D52" s="41"/>
      <c r="E52" s="43" t="str">
        <f t="shared" si="17"/>
        <v/>
      </c>
      <c r="F52" s="43" t="str">
        <f t="shared" si="18"/>
        <v/>
      </c>
      <c r="G52" s="43" t="str">
        <f t="shared" si="19"/>
        <v/>
      </c>
      <c r="H52" s="43" t="str">
        <f t="shared" si="20"/>
        <v/>
      </c>
      <c r="I52" s="43" t="str">
        <f t="shared" si="21"/>
        <v/>
      </c>
      <c r="J52" s="43" t="str">
        <f t="shared" si="22"/>
        <v/>
      </c>
      <c r="K52" s="33"/>
      <c r="L52" s="4"/>
    </row>
    <row r="53" spans="1:12" x14ac:dyDescent="0.3">
      <c r="A53" s="10"/>
      <c r="B53" s="37" t="str">
        <f t="shared" si="16"/>
        <v/>
      </c>
      <c r="C53" s="10"/>
      <c r="D53" s="41"/>
      <c r="E53" s="43" t="str">
        <f t="shared" si="17"/>
        <v/>
      </c>
      <c r="F53" s="43" t="str">
        <f t="shared" si="18"/>
        <v/>
      </c>
      <c r="G53" s="43" t="str">
        <f t="shared" si="19"/>
        <v/>
      </c>
      <c r="H53" s="43" t="str">
        <f t="shared" si="20"/>
        <v/>
      </c>
      <c r="I53" s="43" t="str">
        <f t="shared" si="21"/>
        <v/>
      </c>
      <c r="J53" s="43" t="str">
        <f t="shared" si="22"/>
        <v/>
      </c>
      <c r="K53" s="33"/>
      <c r="L53" s="4"/>
    </row>
    <row r="54" spans="1:12" x14ac:dyDescent="0.3">
      <c r="A54" s="10"/>
      <c r="B54" s="37" t="str">
        <f t="shared" si="16"/>
        <v/>
      </c>
      <c r="C54" s="10"/>
      <c r="D54" s="41"/>
      <c r="E54" s="43" t="str">
        <f t="shared" si="17"/>
        <v/>
      </c>
      <c r="F54" s="43" t="str">
        <f t="shared" si="18"/>
        <v/>
      </c>
      <c r="G54" s="43" t="str">
        <f t="shared" si="19"/>
        <v/>
      </c>
      <c r="H54" s="43" t="str">
        <f t="shared" si="20"/>
        <v/>
      </c>
      <c r="I54" s="43" t="str">
        <f t="shared" si="21"/>
        <v/>
      </c>
      <c r="J54" s="43" t="str">
        <f t="shared" si="22"/>
        <v/>
      </c>
      <c r="K54" s="33"/>
      <c r="L54" s="4"/>
    </row>
    <row r="55" spans="1:12" x14ac:dyDescent="0.3">
      <c r="A55" s="10"/>
      <c r="B55" s="37" t="str">
        <f t="shared" si="16"/>
        <v/>
      </c>
      <c r="C55" s="10"/>
      <c r="D55" s="41"/>
      <c r="E55" s="43" t="str">
        <f t="shared" si="17"/>
        <v/>
      </c>
      <c r="F55" s="43" t="str">
        <f t="shared" si="18"/>
        <v/>
      </c>
      <c r="G55" s="43" t="str">
        <f t="shared" si="19"/>
        <v/>
      </c>
      <c r="H55" s="43" t="str">
        <f t="shared" si="20"/>
        <v/>
      </c>
      <c r="I55" s="43" t="str">
        <f t="shared" si="21"/>
        <v/>
      </c>
      <c r="J55" s="43" t="str">
        <f t="shared" si="22"/>
        <v/>
      </c>
      <c r="K55" s="33"/>
    </row>
    <row r="56" spans="1:12" x14ac:dyDescent="0.3">
      <c r="A56" s="10"/>
      <c r="B56" s="37" t="str">
        <f t="shared" si="16"/>
        <v/>
      </c>
      <c r="C56" s="10"/>
      <c r="D56" s="41"/>
      <c r="E56" s="43" t="str">
        <f t="shared" si="17"/>
        <v/>
      </c>
      <c r="F56" s="43" t="str">
        <f t="shared" si="18"/>
        <v/>
      </c>
      <c r="G56" s="43" t="str">
        <f t="shared" si="19"/>
        <v/>
      </c>
      <c r="H56" s="43" t="str">
        <f>IF($A56="full day holiday",7.5/24,IF($A56="1/2 day holiday",3.75/24,""))</f>
        <v/>
      </c>
      <c r="I56" s="43" t="str">
        <f t="shared" si="21"/>
        <v/>
      </c>
      <c r="J56" s="43" t="str">
        <f t="shared" si="22"/>
        <v/>
      </c>
      <c r="K56" s="33"/>
    </row>
    <row r="57" spans="1:12" x14ac:dyDescent="0.3">
      <c r="A57" s="10"/>
      <c r="B57" s="37" t="str">
        <f t="shared" si="16"/>
        <v/>
      </c>
      <c r="C57" s="10"/>
      <c r="D57" s="41"/>
      <c r="E57" s="43" t="str">
        <f t="shared" si="17"/>
        <v/>
      </c>
      <c r="F57" s="43" t="str">
        <f t="shared" si="18"/>
        <v/>
      </c>
      <c r="G57" s="43" t="str">
        <f t="shared" si="19"/>
        <v/>
      </c>
      <c r="H57" s="43" t="str">
        <f t="shared" si="20"/>
        <v/>
      </c>
      <c r="I57" s="43" t="str">
        <f t="shared" si="21"/>
        <v/>
      </c>
      <c r="J57" s="43" t="str">
        <f>IF($A57="full day sick",7.5/24,IF($A57="1/2 day sick",3.75/24,""))</f>
        <v/>
      </c>
      <c r="K57" s="33"/>
    </row>
    <row r="58" spans="1:12" x14ac:dyDescent="0.3">
      <c r="A58" s="10"/>
      <c r="B58" s="37" t="str">
        <f t="shared" si="16"/>
        <v/>
      </c>
      <c r="C58" s="10"/>
      <c r="D58" s="41"/>
      <c r="E58" s="43" t="str">
        <f t="shared" si="17"/>
        <v/>
      </c>
      <c r="F58" s="43" t="str">
        <f t="shared" si="18"/>
        <v/>
      </c>
      <c r="G58" s="43" t="str">
        <f t="shared" si="19"/>
        <v/>
      </c>
      <c r="H58" s="43" t="str">
        <f t="shared" si="20"/>
        <v/>
      </c>
      <c r="I58" s="43" t="str">
        <f t="shared" si="21"/>
        <v/>
      </c>
      <c r="J58" s="43" t="str">
        <f t="shared" si="22"/>
        <v/>
      </c>
      <c r="K58" s="33"/>
    </row>
    <row r="59" spans="1:12" x14ac:dyDescent="0.3">
      <c r="A59" s="10"/>
      <c r="B59" s="37" t="str">
        <f t="shared" si="16"/>
        <v/>
      </c>
      <c r="C59" s="10"/>
      <c r="D59" s="41"/>
      <c r="E59" s="43" t="str">
        <f t="shared" si="17"/>
        <v/>
      </c>
      <c r="F59" s="43" t="str">
        <f t="shared" si="18"/>
        <v/>
      </c>
      <c r="G59" s="43" t="str">
        <f t="shared" si="19"/>
        <v/>
      </c>
      <c r="H59" s="43" t="str">
        <f t="shared" si="20"/>
        <v/>
      </c>
      <c r="I59" s="43" t="str">
        <f t="shared" si="21"/>
        <v/>
      </c>
      <c r="J59" s="43" t="str">
        <f t="shared" si="22"/>
        <v/>
      </c>
      <c r="K59" s="33"/>
    </row>
    <row r="60" spans="1:12" x14ac:dyDescent="0.3">
      <c r="A60" s="10"/>
      <c r="B60" s="37" t="str">
        <f t="shared" si="16"/>
        <v/>
      </c>
      <c r="C60" s="10"/>
      <c r="D60" s="41"/>
      <c r="E60" s="43" t="str">
        <f t="shared" si="17"/>
        <v/>
      </c>
      <c r="F60" s="43" t="str">
        <f t="shared" si="18"/>
        <v/>
      </c>
      <c r="G60" s="43" t="str">
        <f t="shared" si="19"/>
        <v/>
      </c>
      <c r="H60" s="43" t="str">
        <f t="shared" si="20"/>
        <v/>
      </c>
      <c r="I60" s="43" t="str">
        <f t="shared" si="21"/>
        <v/>
      </c>
      <c r="J60" s="43" t="str">
        <f t="shared" si="22"/>
        <v/>
      </c>
      <c r="K60" s="33"/>
    </row>
    <row r="61" spans="1:12" x14ac:dyDescent="0.3">
      <c r="A61" s="10"/>
      <c r="B61" s="37" t="str">
        <f t="shared" si="16"/>
        <v/>
      </c>
      <c r="C61" s="10"/>
      <c r="D61" s="41"/>
      <c r="E61" s="43" t="str">
        <f t="shared" si="17"/>
        <v/>
      </c>
      <c r="F61" s="43" t="str">
        <f t="shared" si="18"/>
        <v/>
      </c>
      <c r="G61" s="43" t="str">
        <f t="shared" si="19"/>
        <v/>
      </c>
      <c r="H61" s="43" t="str">
        <f t="shared" si="20"/>
        <v/>
      </c>
      <c r="I61" s="43" t="str">
        <f t="shared" si="21"/>
        <v/>
      </c>
      <c r="J61" s="43" t="str">
        <f t="shared" si="22"/>
        <v/>
      </c>
      <c r="K61" s="33"/>
    </row>
    <row r="62" spans="1:12" x14ac:dyDescent="0.3">
      <c r="A62" s="10"/>
      <c r="B62" s="37" t="str">
        <f t="shared" si="16"/>
        <v/>
      </c>
      <c r="C62" s="10"/>
      <c r="D62" s="41"/>
      <c r="E62" s="43" t="str">
        <f t="shared" si="17"/>
        <v/>
      </c>
      <c r="F62" s="43" t="str">
        <f t="shared" si="18"/>
        <v/>
      </c>
      <c r="G62" s="43" t="str">
        <f t="shared" si="19"/>
        <v/>
      </c>
      <c r="H62" s="43" t="str">
        <f t="shared" si="20"/>
        <v/>
      </c>
      <c r="I62" s="43" t="str">
        <f t="shared" si="21"/>
        <v/>
      </c>
      <c r="J62" s="43" t="str">
        <f t="shared" si="22"/>
        <v/>
      </c>
      <c r="K62" s="33"/>
    </row>
    <row r="63" spans="1:12" x14ac:dyDescent="0.3">
      <c r="A63" s="10"/>
      <c r="B63" s="37" t="str">
        <f t="shared" si="16"/>
        <v/>
      </c>
      <c r="C63" s="10"/>
      <c r="D63" s="41"/>
      <c r="E63" s="43" t="str">
        <f t="shared" si="17"/>
        <v/>
      </c>
      <c r="F63" s="43" t="str">
        <f t="shared" si="18"/>
        <v/>
      </c>
      <c r="G63" s="43" t="str">
        <f t="shared" si="19"/>
        <v/>
      </c>
      <c r="H63" s="43" t="str">
        <f t="shared" si="20"/>
        <v/>
      </c>
      <c r="I63" s="43" t="str">
        <f t="shared" si="21"/>
        <v/>
      </c>
      <c r="J63" s="43" t="str">
        <f t="shared" si="22"/>
        <v/>
      </c>
      <c r="K63" s="33"/>
    </row>
    <row r="64" spans="1:12" x14ac:dyDescent="0.3">
      <c r="A64" s="10"/>
      <c r="B64" s="37" t="str">
        <f t="shared" si="16"/>
        <v/>
      </c>
      <c r="C64" s="10"/>
      <c r="D64" s="41"/>
      <c r="E64" s="43" t="str">
        <f t="shared" si="17"/>
        <v/>
      </c>
      <c r="F64" s="43" t="str">
        <f t="shared" si="18"/>
        <v/>
      </c>
      <c r="G64" s="43" t="str">
        <f t="shared" si="19"/>
        <v/>
      </c>
      <c r="H64" s="43" t="str">
        <f t="shared" si="20"/>
        <v/>
      </c>
      <c r="I64" s="43" t="str">
        <f t="shared" si="21"/>
        <v/>
      </c>
      <c r="J64" s="43" t="str">
        <f t="shared" si="22"/>
        <v/>
      </c>
      <c r="K64" s="33"/>
    </row>
    <row r="65" spans="1:12" x14ac:dyDescent="0.3">
      <c r="A65" s="10"/>
      <c r="B65" s="37" t="str">
        <f t="shared" si="16"/>
        <v/>
      </c>
      <c r="C65" s="10"/>
      <c r="D65" s="41"/>
      <c r="E65" s="43" t="str">
        <f t="shared" si="17"/>
        <v/>
      </c>
      <c r="F65" s="43" t="str">
        <f t="shared" si="18"/>
        <v/>
      </c>
      <c r="G65" s="43" t="str">
        <f t="shared" si="19"/>
        <v/>
      </c>
      <c r="H65" s="43" t="str">
        <f t="shared" si="20"/>
        <v/>
      </c>
      <c r="I65" s="43" t="str">
        <f t="shared" si="21"/>
        <v/>
      </c>
      <c r="J65" s="43" t="str">
        <f t="shared" si="22"/>
        <v/>
      </c>
      <c r="K65" s="33"/>
    </row>
    <row r="66" spans="1:12" x14ac:dyDescent="0.3">
      <c r="A66" s="13" t="s">
        <v>12</v>
      </c>
      <c r="B66" s="13"/>
      <c r="C66" s="13"/>
      <c r="D66" s="44"/>
      <c r="E66" s="45">
        <f>SUM(E47:E65)</f>
        <v>0</v>
      </c>
      <c r="F66" s="45">
        <f>SUM(F47:F65)</f>
        <v>0</v>
      </c>
      <c r="G66" s="45">
        <f>SUM(G47:G65)</f>
        <v>0</v>
      </c>
      <c r="H66" s="45">
        <f>SUM(H47:H65)</f>
        <v>0</v>
      </c>
      <c r="I66" s="45">
        <f t="shared" ref="I66:J66" si="23">SUM(I47:I65)</f>
        <v>0</v>
      </c>
      <c r="J66" s="45">
        <f t="shared" si="23"/>
        <v>0</v>
      </c>
      <c r="K66" s="34"/>
      <c r="L66" s="14"/>
    </row>
    <row r="67" spans="1:12" x14ac:dyDescent="0.3">
      <c r="A67" s="15"/>
      <c r="B67" s="15"/>
      <c r="C67" s="15"/>
      <c r="D67" s="40" t="s">
        <v>13</v>
      </c>
      <c r="E67" s="46"/>
      <c r="F67" s="46"/>
      <c r="G67" s="46"/>
      <c r="H67" s="46"/>
      <c r="I67" s="46"/>
      <c r="J67" s="46"/>
      <c r="K67" s="32"/>
      <c r="L67" s="4"/>
    </row>
    <row r="68" spans="1:12" x14ac:dyDescent="0.3">
      <c r="A68" s="16" t="s">
        <v>9</v>
      </c>
      <c r="B68" s="8"/>
      <c r="C68" s="9"/>
      <c r="D68" s="41">
        <v>0.375</v>
      </c>
      <c r="E68" s="47"/>
      <c r="F68" s="47"/>
      <c r="G68" s="47"/>
      <c r="H68" s="47"/>
      <c r="I68" s="47"/>
      <c r="J68" s="47"/>
      <c r="K68" s="33"/>
      <c r="L68" s="4"/>
    </row>
    <row r="69" spans="1:12" x14ac:dyDescent="0.3">
      <c r="A69" s="10"/>
      <c r="B69" s="37" t="str">
        <f t="shared" ref="B69:B86" si="24">IF(A69="","",INDEX(Number_list,MATCH(A69,Project_list,0)))</f>
        <v/>
      </c>
      <c r="C69" s="10"/>
      <c r="D69" s="41"/>
      <c r="E69" s="43" t="str">
        <f t="shared" ref="E69:E86" si="25">IF($A69="","",IF(LEFT(INDEX(Number_list,MATCH($A69,Project_list,0)),2)="20",$D69-$D68,""))</f>
        <v/>
      </c>
      <c r="F69" s="43" t="str">
        <f t="shared" ref="F69:F86" si="26">IF($A69="","",IF(LEFT(INDEX(Number_list,MATCH($A69,Project_list,0)),2)="NC",$D69-$D68,""))</f>
        <v/>
      </c>
      <c r="G69" s="43" t="str">
        <f t="shared" ref="G69:G86" si="27">IF($A69="","",IF(LEFT(INDEX(Number_list,MATCH($A69,Project_list,0)),5)="admin",$D69-$D68,""))</f>
        <v/>
      </c>
      <c r="H69" s="43" t="str">
        <f>IF($A69="full day holiday",7.5/24,IF($A69="1/2 day holiday",3.75/24,""))</f>
        <v/>
      </c>
      <c r="I69" s="43" t="str">
        <f>IF($A69="bank holiday",7.5/24,"")</f>
        <v/>
      </c>
      <c r="J69" s="43" t="str">
        <f>IF($A69="full day sick",7.5/24,IF($A69="1/2 day sick",3.75/24,""))</f>
        <v/>
      </c>
      <c r="K69" s="33"/>
      <c r="L69" s="4"/>
    </row>
    <row r="70" spans="1:12" x14ac:dyDescent="0.3">
      <c r="A70" s="10"/>
      <c r="B70" s="37" t="str">
        <f t="shared" si="24"/>
        <v/>
      </c>
      <c r="C70" s="10"/>
      <c r="D70" s="41"/>
      <c r="E70" s="43" t="str">
        <f t="shared" si="25"/>
        <v/>
      </c>
      <c r="F70" s="43" t="str">
        <f t="shared" si="26"/>
        <v/>
      </c>
      <c r="G70" s="43" t="str">
        <f t="shared" si="27"/>
        <v/>
      </c>
      <c r="H70" s="43" t="str">
        <f t="shared" ref="H70:H86" si="28">IF($A70="full day holiday",7.5/24,IF($A70="1/2 day holiday",3.75/24,""))</f>
        <v/>
      </c>
      <c r="I70" s="43" t="str">
        <f t="shared" ref="I70:I86" si="29">IF($A70="bank holiday",7.5/24,"")</f>
        <v/>
      </c>
      <c r="J70" s="43" t="str">
        <f>IF($A70="full day sick",7.5/24,IF($A70="1/2 day sick",3.75/24,""))</f>
        <v/>
      </c>
      <c r="K70" s="33"/>
    </row>
    <row r="71" spans="1:12" x14ac:dyDescent="0.3">
      <c r="A71" s="10"/>
      <c r="B71" s="37" t="str">
        <f t="shared" si="24"/>
        <v/>
      </c>
      <c r="C71" s="10"/>
      <c r="D71" s="41"/>
      <c r="E71" s="43" t="str">
        <f t="shared" si="25"/>
        <v/>
      </c>
      <c r="F71" s="43" t="str">
        <f t="shared" si="26"/>
        <v/>
      </c>
      <c r="G71" s="43" t="str">
        <f t="shared" si="27"/>
        <v/>
      </c>
      <c r="H71" s="43" t="str">
        <f t="shared" si="28"/>
        <v/>
      </c>
      <c r="I71" s="43" t="str">
        <f t="shared" si="29"/>
        <v/>
      </c>
      <c r="J71" s="43" t="str">
        <f t="shared" ref="J71:J86" si="30">IF($A71="full day sick",7.5/24,IF($A71="1/2 day sick",3.75/24,""))</f>
        <v/>
      </c>
      <c r="K71" s="33"/>
    </row>
    <row r="72" spans="1:12" x14ac:dyDescent="0.3">
      <c r="A72" s="10"/>
      <c r="B72" s="37" t="str">
        <f t="shared" si="24"/>
        <v/>
      </c>
      <c r="C72" s="10"/>
      <c r="D72" s="41"/>
      <c r="E72" s="43" t="str">
        <f t="shared" si="25"/>
        <v/>
      </c>
      <c r="F72" s="43" t="str">
        <f t="shared" si="26"/>
        <v/>
      </c>
      <c r="G72" s="43" t="str">
        <f t="shared" si="27"/>
        <v/>
      </c>
      <c r="H72" s="43" t="str">
        <f t="shared" si="28"/>
        <v/>
      </c>
      <c r="I72" s="43" t="str">
        <f t="shared" si="29"/>
        <v/>
      </c>
      <c r="J72" s="43" t="str">
        <f t="shared" si="30"/>
        <v/>
      </c>
      <c r="K72" s="33"/>
    </row>
    <row r="73" spans="1:12" x14ac:dyDescent="0.3">
      <c r="A73" s="10"/>
      <c r="B73" s="37" t="str">
        <f t="shared" si="24"/>
        <v/>
      </c>
      <c r="C73" s="10"/>
      <c r="D73" s="41"/>
      <c r="E73" s="43" t="str">
        <f t="shared" si="25"/>
        <v/>
      </c>
      <c r="F73" s="43" t="str">
        <f t="shared" si="26"/>
        <v/>
      </c>
      <c r="G73" s="43" t="str">
        <f t="shared" si="27"/>
        <v/>
      </c>
      <c r="H73" s="43" t="str">
        <f t="shared" si="28"/>
        <v/>
      </c>
      <c r="I73" s="43" t="str">
        <f t="shared" si="29"/>
        <v/>
      </c>
      <c r="J73" s="43" t="str">
        <f t="shared" si="30"/>
        <v/>
      </c>
      <c r="K73" s="33"/>
    </row>
    <row r="74" spans="1:12" x14ac:dyDescent="0.3">
      <c r="A74" s="10"/>
      <c r="B74" s="37" t="str">
        <f t="shared" si="24"/>
        <v/>
      </c>
      <c r="C74" s="10"/>
      <c r="D74" s="41"/>
      <c r="E74" s="43" t="str">
        <f t="shared" si="25"/>
        <v/>
      </c>
      <c r="F74" s="43" t="str">
        <f t="shared" si="26"/>
        <v/>
      </c>
      <c r="G74" s="43" t="str">
        <f t="shared" si="27"/>
        <v/>
      </c>
      <c r="H74" s="43" t="str">
        <f t="shared" si="28"/>
        <v/>
      </c>
      <c r="I74" s="43" t="str">
        <f t="shared" si="29"/>
        <v/>
      </c>
      <c r="J74" s="43" t="str">
        <f t="shared" si="30"/>
        <v/>
      </c>
      <c r="K74" s="33"/>
    </row>
    <row r="75" spans="1:12" x14ac:dyDescent="0.3">
      <c r="A75" s="10"/>
      <c r="B75" s="37" t="str">
        <f t="shared" si="24"/>
        <v/>
      </c>
      <c r="C75" s="10"/>
      <c r="D75" s="41"/>
      <c r="E75" s="43" t="str">
        <f t="shared" si="25"/>
        <v/>
      </c>
      <c r="F75" s="43" t="str">
        <f t="shared" si="26"/>
        <v/>
      </c>
      <c r="G75" s="43" t="str">
        <f t="shared" si="27"/>
        <v/>
      </c>
      <c r="H75" s="43" t="str">
        <f t="shared" si="28"/>
        <v/>
      </c>
      <c r="I75" s="43" t="str">
        <f t="shared" si="29"/>
        <v/>
      </c>
      <c r="J75" s="43" t="str">
        <f t="shared" si="30"/>
        <v/>
      </c>
      <c r="K75" s="33"/>
    </row>
    <row r="76" spans="1:12" x14ac:dyDescent="0.3">
      <c r="A76" s="10"/>
      <c r="B76" s="37" t="str">
        <f t="shared" si="24"/>
        <v/>
      </c>
      <c r="C76" s="10"/>
      <c r="D76" s="41"/>
      <c r="E76" s="43" t="str">
        <f t="shared" si="25"/>
        <v/>
      </c>
      <c r="F76" s="43" t="str">
        <f t="shared" si="26"/>
        <v/>
      </c>
      <c r="G76" s="43" t="str">
        <f t="shared" si="27"/>
        <v/>
      </c>
      <c r="H76" s="43" t="str">
        <f t="shared" si="28"/>
        <v/>
      </c>
      <c r="I76" s="43" t="str">
        <f t="shared" si="29"/>
        <v/>
      </c>
      <c r="J76" s="43" t="str">
        <f t="shared" si="30"/>
        <v/>
      </c>
      <c r="K76" s="33"/>
    </row>
    <row r="77" spans="1:12" x14ac:dyDescent="0.3">
      <c r="A77" s="10"/>
      <c r="B77" s="37" t="str">
        <f t="shared" si="24"/>
        <v/>
      </c>
      <c r="C77" s="10"/>
      <c r="D77" s="41"/>
      <c r="E77" s="43" t="str">
        <f t="shared" si="25"/>
        <v/>
      </c>
      <c r="F77" s="43" t="str">
        <f t="shared" si="26"/>
        <v/>
      </c>
      <c r="G77" s="43" t="str">
        <f t="shared" si="27"/>
        <v/>
      </c>
      <c r="H77" s="43" t="str">
        <f>IF($A77="full day holiday",7.5/24,IF($A77="1/2 day holiday",3.75/24,""))</f>
        <v/>
      </c>
      <c r="I77" s="43" t="str">
        <f t="shared" si="29"/>
        <v/>
      </c>
      <c r="J77" s="43" t="str">
        <f t="shared" si="30"/>
        <v/>
      </c>
      <c r="K77" s="33"/>
    </row>
    <row r="78" spans="1:12" x14ac:dyDescent="0.3">
      <c r="A78" s="10"/>
      <c r="B78" s="37" t="str">
        <f t="shared" si="24"/>
        <v/>
      </c>
      <c r="C78" s="10"/>
      <c r="D78" s="41"/>
      <c r="E78" s="43" t="str">
        <f t="shared" si="25"/>
        <v/>
      </c>
      <c r="F78" s="43" t="str">
        <f t="shared" si="26"/>
        <v/>
      </c>
      <c r="G78" s="43" t="str">
        <f t="shared" si="27"/>
        <v/>
      </c>
      <c r="H78" s="43" t="str">
        <f t="shared" si="28"/>
        <v/>
      </c>
      <c r="I78" s="43" t="str">
        <f t="shared" si="29"/>
        <v/>
      </c>
      <c r="J78" s="43" t="str">
        <f>IF($A78="full day sick",7.5/24,IF($A78="1/2 day sick",3.75/24,""))</f>
        <v/>
      </c>
      <c r="K78" s="33"/>
    </row>
    <row r="79" spans="1:12" x14ac:dyDescent="0.3">
      <c r="A79" s="10"/>
      <c r="B79" s="37" t="str">
        <f t="shared" si="24"/>
        <v/>
      </c>
      <c r="C79" s="10"/>
      <c r="D79" s="41"/>
      <c r="E79" s="43" t="str">
        <f t="shared" si="25"/>
        <v/>
      </c>
      <c r="F79" s="43" t="str">
        <f t="shared" si="26"/>
        <v/>
      </c>
      <c r="G79" s="43" t="str">
        <f t="shared" si="27"/>
        <v/>
      </c>
      <c r="H79" s="43" t="str">
        <f t="shared" si="28"/>
        <v/>
      </c>
      <c r="I79" s="43" t="str">
        <f t="shared" si="29"/>
        <v/>
      </c>
      <c r="J79" s="43" t="str">
        <f t="shared" si="30"/>
        <v/>
      </c>
      <c r="K79" s="33"/>
    </row>
    <row r="80" spans="1:12" x14ac:dyDescent="0.3">
      <c r="A80" s="10"/>
      <c r="B80" s="37" t="str">
        <f t="shared" si="24"/>
        <v/>
      </c>
      <c r="C80" s="10"/>
      <c r="D80" s="41"/>
      <c r="E80" s="43" t="str">
        <f t="shared" si="25"/>
        <v/>
      </c>
      <c r="F80" s="43" t="str">
        <f t="shared" si="26"/>
        <v/>
      </c>
      <c r="G80" s="43" t="str">
        <f t="shared" si="27"/>
        <v/>
      </c>
      <c r="H80" s="43" t="str">
        <f t="shared" si="28"/>
        <v/>
      </c>
      <c r="I80" s="43" t="str">
        <f t="shared" si="29"/>
        <v/>
      </c>
      <c r="J80" s="43" t="str">
        <f t="shared" si="30"/>
        <v/>
      </c>
      <c r="K80" s="33"/>
    </row>
    <row r="81" spans="1:12" x14ac:dyDescent="0.3">
      <c r="A81" s="10"/>
      <c r="B81" s="37" t="str">
        <f t="shared" si="24"/>
        <v/>
      </c>
      <c r="C81" s="10"/>
      <c r="D81" s="41"/>
      <c r="E81" s="43" t="str">
        <f t="shared" si="25"/>
        <v/>
      </c>
      <c r="F81" s="43" t="str">
        <f t="shared" si="26"/>
        <v/>
      </c>
      <c r="G81" s="43" t="str">
        <f t="shared" si="27"/>
        <v/>
      </c>
      <c r="H81" s="43" t="str">
        <f t="shared" si="28"/>
        <v/>
      </c>
      <c r="I81" s="43" t="str">
        <f t="shared" si="29"/>
        <v/>
      </c>
      <c r="J81" s="43" t="str">
        <f t="shared" si="30"/>
        <v/>
      </c>
      <c r="K81" s="33"/>
    </row>
    <row r="82" spans="1:12" x14ac:dyDescent="0.3">
      <c r="A82" s="10"/>
      <c r="B82" s="37" t="str">
        <f t="shared" si="24"/>
        <v/>
      </c>
      <c r="C82" s="10"/>
      <c r="D82" s="41"/>
      <c r="E82" s="43" t="str">
        <f t="shared" si="25"/>
        <v/>
      </c>
      <c r="F82" s="43" t="str">
        <f t="shared" si="26"/>
        <v/>
      </c>
      <c r="G82" s="43" t="str">
        <f t="shared" si="27"/>
        <v/>
      </c>
      <c r="H82" s="43" t="str">
        <f t="shared" si="28"/>
        <v/>
      </c>
      <c r="I82" s="43" t="str">
        <f t="shared" si="29"/>
        <v/>
      </c>
      <c r="J82" s="43" t="str">
        <f t="shared" si="30"/>
        <v/>
      </c>
      <c r="K82" s="33"/>
    </row>
    <row r="83" spans="1:12" x14ac:dyDescent="0.3">
      <c r="A83" s="10"/>
      <c r="B83" s="37" t="str">
        <f t="shared" si="24"/>
        <v/>
      </c>
      <c r="C83" s="10"/>
      <c r="D83" s="41"/>
      <c r="E83" s="43" t="str">
        <f t="shared" si="25"/>
        <v/>
      </c>
      <c r="F83" s="43" t="str">
        <f t="shared" si="26"/>
        <v/>
      </c>
      <c r="G83" s="43" t="str">
        <f t="shared" si="27"/>
        <v/>
      </c>
      <c r="H83" s="43" t="str">
        <f t="shared" si="28"/>
        <v/>
      </c>
      <c r="I83" s="43" t="str">
        <f t="shared" si="29"/>
        <v/>
      </c>
      <c r="J83" s="43" t="str">
        <f t="shared" si="30"/>
        <v/>
      </c>
      <c r="K83" s="33"/>
    </row>
    <row r="84" spans="1:12" x14ac:dyDescent="0.3">
      <c r="A84" s="10"/>
      <c r="B84" s="37" t="str">
        <f t="shared" si="24"/>
        <v/>
      </c>
      <c r="C84" s="10"/>
      <c r="D84" s="41"/>
      <c r="E84" s="43" t="str">
        <f t="shared" si="25"/>
        <v/>
      </c>
      <c r="F84" s="43" t="str">
        <f t="shared" si="26"/>
        <v/>
      </c>
      <c r="G84" s="43" t="str">
        <f t="shared" si="27"/>
        <v/>
      </c>
      <c r="H84" s="43" t="str">
        <f t="shared" si="28"/>
        <v/>
      </c>
      <c r="I84" s="43" t="str">
        <f t="shared" si="29"/>
        <v/>
      </c>
      <c r="J84" s="43" t="str">
        <f t="shared" si="30"/>
        <v/>
      </c>
      <c r="K84" s="33"/>
    </row>
    <row r="85" spans="1:12" x14ac:dyDescent="0.3">
      <c r="A85" s="10"/>
      <c r="B85" s="37" t="str">
        <f t="shared" si="24"/>
        <v/>
      </c>
      <c r="C85" s="10"/>
      <c r="D85" s="41"/>
      <c r="E85" s="43" t="str">
        <f t="shared" si="25"/>
        <v/>
      </c>
      <c r="F85" s="43" t="str">
        <f t="shared" si="26"/>
        <v/>
      </c>
      <c r="G85" s="43" t="str">
        <f t="shared" si="27"/>
        <v/>
      </c>
      <c r="H85" s="43" t="str">
        <f t="shared" si="28"/>
        <v/>
      </c>
      <c r="I85" s="43" t="str">
        <f t="shared" si="29"/>
        <v/>
      </c>
      <c r="J85" s="43" t="str">
        <f t="shared" si="30"/>
        <v/>
      </c>
      <c r="K85" s="33"/>
    </row>
    <row r="86" spans="1:12" x14ac:dyDescent="0.3">
      <c r="A86" s="10"/>
      <c r="B86" s="37" t="str">
        <f t="shared" si="24"/>
        <v/>
      </c>
      <c r="C86" s="10"/>
      <c r="D86" s="41"/>
      <c r="E86" s="43" t="str">
        <f t="shared" si="25"/>
        <v/>
      </c>
      <c r="F86" s="43" t="str">
        <f t="shared" si="26"/>
        <v/>
      </c>
      <c r="G86" s="43" t="str">
        <f t="shared" si="27"/>
        <v/>
      </c>
      <c r="H86" s="43" t="str">
        <f t="shared" si="28"/>
        <v/>
      </c>
      <c r="I86" s="43" t="str">
        <f t="shared" si="29"/>
        <v/>
      </c>
      <c r="J86" s="43" t="str">
        <f t="shared" si="30"/>
        <v/>
      </c>
      <c r="K86" s="33"/>
    </row>
    <row r="87" spans="1:12" x14ac:dyDescent="0.3">
      <c r="A87" s="13" t="s">
        <v>12</v>
      </c>
      <c r="B87" s="13"/>
      <c r="C87" s="13"/>
      <c r="D87" s="44"/>
      <c r="E87" s="45">
        <f>SUM(E68:E86)</f>
        <v>0</v>
      </c>
      <c r="F87" s="45">
        <f>SUM(F68:F86)</f>
        <v>0</v>
      </c>
      <c r="G87" s="45">
        <f>SUM(G68:G86)</f>
        <v>0</v>
      </c>
      <c r="H87" s="45">
        <f>SUM(H68:H86)</f>
        <v>0</v>
      </c>
      <c r="I87" s="45">
        <f t="shared" ref="I87:J87" si="31">SUM(I68:I86)</f>
        <v>0</v>
      </c>
      <c r="J87" s="45">
        <f t="shared" si="31"/>
        <v>0</v>
      </c>
      <c r="K87" s="34"/>
      <c r="L87" s="14"/>
    </row>
    <row r="88" spans="1:12" x14ac:dyDescent="0.3">
      <c r="A88" s="15"/>
      <c r="B88" s="15"/>
      <c r="C88" s="15"/>
      <c r="D88" s="40" t="s">
        <v>14</v>
      </c>
      <c r="E88" s="46"/>
      <c r="F88" s="46"/>
      <c r="G88" s="46"/>
      <c r="H88" s="46"/>
      <c r="I88" s="46"/>
      <c r="J88" s="46"/>
      <c r="K88" s="32"/>
      <c r="L88" s="4"/>
    </row>
    <row r="89" spans="1:12" x14ac:dyDescent="0.3">
      <c r="A89" s="16" t="s">
        <v>9</v>
      </c>
      <c r="B89" s="8"/>
      <c r="C89" s="9"/>
      <c r="D89" s="41">
        <v>0.375</v>
      </c>
      <c r="E89" s="47"/>
      <c r="F89" s="47"/>
      <c r="G89" s="47"/>
      <c r="H89" s="47"/>
      <c r="I89" s="47"/>
      <c r="J89" s="47"/>
      <c r="K89" s="33"/>
      <c r="L89" s="4"/>
    </row>
    <row r="90" spans="1:12" x14ac:dyDescent="0.3">
      <c r="A90" s="10"/>
      <c r="B90" s="37" t="str">
        <f t="shared" ref="B90:B107" si="32">IF(A90="","",INDEX(Number_list,MATCH(A90,Project_list,0)))</f>
        <v/>
      </c>
      <c r="C90" s="10"/>
      <c r="D90" s="41"/>
      <c r="E90" s="43" t="str">
        <f t="shared" ref="E90:E107" si="33">IF($A90="","",IF(LEFT(INDEX(Number_list,MATCH($A90,Project_list,0)),2)="20",$D90-$D89,""))</f>
        <v/>
      </c>
      <c r="F90" s="43" t="str">
        <f t="shared" ref="F90:F107" si="34">IF($A90="","",IF(LEFT(INDEX(Number_list,MATCH($A90,Project_list,0)),2)="NC",$D90-$D89,""))</f>
        <v/>
      </c>
      <c r="G90" s="43" t="str">
        <f t="shared" ref="G90:G107" si="35">IF($A90="","",IF(LEFT(INDEX(Number_list,MATCH($A90,Project_list,0)),5)="admin",$D90-$D89,""))</f>
        <v/>
      </c>
      <c r="H90" s="43" t="str">
        <f>IF($A90="full day holiday",7.5/24,IF($A90="1/2 day holiday",3.75/24,""))</f>
        <v/>
      </c>
      <c r="I90" s="43" t="str">
        <f>IF($A90="bank holiday",7.5/24,"")</f>
        <v/>
      </c>
      <c r="J90" s="43" t="str">
        <f>IF($A90="full day sick",7.5/24,IF($A90="1/2 day sick",3.75/24,""))</f>
        <v/>
      </c>
      <c r="K90" s="33"/>
      <c r="L90" s="4"/>
    </row>
    <row r="91" spans="1:12" x14ac:dyDescent="0.3">
      <c r="A91" s="10"/>
      <c r="B91" s="37" t="str">
        <f t="shared" si="32"/>
        <v/>
      </c>
      <c r="C91" s="10"/>
      <c r="D91" s="41"/>
      <c r="E91" s="43" t="str">
        <f t="shared" si="33"/>
        <v/>
      </c>
      <c r="F91" s="43" t="str">
        <f t="shared" si="34"/>
        <v/>
      </c>
      <c r="G91" s="43" t="str">
        <f t="shared" si="35"/>
        <v/>
      </c>
      <c r="H91" s="43" t="str">
        <f t="shared" ref="H91:H107" si="36">IF($A91="full day holiday",7.5/24,IF($A91="1/2 day holiday",3.75/24,""))</f>
        <v/>
      </c>
      <c r="I91" s="43" t="str">
        <f t="shared" ref="I91:I107" si="37">IF($A91="bank holiday",7.5/24,"")</f>
        <v/>
      </c>
      <c r="J91" s="43" t="str">
        <f>IF($A91="full day sick",7.5/24,IF($A91="1/2 day sick",3.75/24,""))</f>
        <v/>
      </c>
      <c r="K91" s="33"/>
      <c r="L91" s="4"/>
    </row>
    <row r="92" spans="1:12" x14ac:dyDescent="0.3">
      <c r="A92" s="10"/>
      <c r="B92" s="37" t="str">
        <f t="shared" si="32"/>
        <v/>
      </c>
      <c r="C92" s="10"/>
      <c r="D92" s="41"/>
      <c r="E92" s="43" t="str">
        <f t="shared" si="33"/>
        <v/>
      </c>
      <c r="F92" s="43" t="str">
        <f t="shared" si="34"/>
        <v/>
      </c>
      <c r="G92" s="43" t="str">
        <f t="shared" si="35"/>
        <v/>
      </c>
      <c r="H92" s="43" t="str">
        <f t="shared" si="36"/>
        <v/>
      </c>
      <c r="I92" s="43" t="str">
        <f t="shared" si="37"/>
        <v/>
      </c>
      <c r="J92" s="43" t="str">
        <f t="shared" ref="J92:J107" si="38">IF($A92="full day sick",7.5/24,IF($A92="1/2 day sick",3.75/24,""))</f>
        <v/>
      </c>
      <c r="K92" s="33"/>
      <c r="L92" s="4"/>
    </row>
    <row r="93" spans="1:12" x14ac:dyDescent="0.3">
      <c r="A93" s="10"/>
      <c r="B93" s="37" t="str">
        <f t="shared" si="32"/>
        <v/>
      </c>
      <c r="C93" s="10"/>
      <c r="D93" s="41"/>
      <c r="E93" s="43" t="str">
        <f t="shared" si="33"/>
        <v/>
      </c>
      <c r="F93" s="43" t="str">
        <f t="shared" si="34"/>
        <v/>
      </c>
      <c r="G93" s="43" t="str">
        <f t="shared" si="35"/>
        <v/>
      </c>
      <c r="H93" s="43" t="str">
        <f t="shared" si="36"/>
        <v/>
      </c>
      <c r="I93" s="43" t="str">
        <f t="shared" si="37"/>
        <v/>
      </c>
      <c r="J93" s="43" t="str">
        <f t="shared" si="38"/>
        <v/>
      </c>
      <c r="K93" s="33"/>
      <c r="L93" s="4"/>
    </row>
    <row r="94" spans="1:12" x14ac:dyDescent="0.3">
      <c r="A94" s="10"/>
      <c r="B94" s="37" t="str">
        <f t="shared" si="32"/>
        <v/>
      </c>
      <c r="C94" s="10"/>
      <c r="D94" s="41"/>
      <c r="E94" s="43" t="str">
        <f t="shared" si="33"/>
        <v/>
      </c>
      <c r="F94" s="43" t="str">
        <f t="shared" si="34"/>
        <v/>
      </c>
      <c r="G94" s="43" t="str">
        <f t="shared" si="35"/>
        <v/>
      </c>
      <c r="H94" s="43" t="str">
        <f t="shared" si="36"/>
        <v/>
      </c>
      <c r="I94" s="43" t="str">
        <f t="shared" si="37"/>
        <v/>
      </c>
      <c r="J94" s="43" t="str">
        <f t="shared" si="38"/>
        <v/>
      </c>
      <c r="K94" s="33"/>
      <c r="L94" s="4"/>
    </row>
    <row r="95" spans="1:12" x14ac:dyDescent="0.3">
      <c r="A95" s="10"/>
      <c r="B95" s="37" t="str">
        <f t="shared" si="32"/>
        <v/>
      </c>
      <c r="C95" s="10"/>
      <c r="D95" s="41"/>
      <c r="E95" s="43" t="str">
        <f t="shared" si="33"/>
        <v/>
      </c>
      <c r="F95" s="43" t="str">
        <f t="shared" si="34"/>
        <v/>
      </c>
      <c r="G95" s="43" t="str">
        <f t="shared" si="35"/>
        <v/>
      </c>
      <c r="H95" s="43" t="str">
        <f t="shared" si="36"/>
        <v/>
      </c>
      <c r="I95" s="43" t="str">
        <f t="shared" si="37"/>
        <v/>
      </c>
      <c r="J95" s="43" t="str">
        <f t="shared" si="38"/>
        <v/>
      </c>
      <c r="K95" s="33"/>
      <c r="L95" s="4"/>
    </row>
    <row r="96" spans="1:12" x14ac:dyDescent="0.3">
      <c r="A96" s="10"/>
      <c r="B96" s="37" t="str">
        <f t="shared" si="32"/>
        <v/>
      </c>
      <c r="C96" s="10"/>
      <c r="D96" s="41"/>
      <c r="E96" s="43" t="str">
        <f t="shared" si="33"/>
        <v/>
      </c>
      <c r="F96" s="43" t="str">
        <f t="shared" si="34"/>
        <v/>
      </c>
      <c r="G96" s="43" t="str">
        <f t="shared" si="35"/>
        <v/>
      </c>
      <c r="H96" s="43" t="str">
        <f t="shared" si="36"/>
        <v/>
      </c>
      <c r="I96" s="43" t="str">
        <f t="shared" si="37"/>
        <v/>
      </c>
      <c r="J96" s="43" t="str">
        <f t="shared" si="38"/>
        <v/>
      </c>
      <c r="K96" s="33"/>
      <c r="L96" s="4"/>
    </row>
    <row r="97" spans="1:12" x14ac:dyDescent="0.3">
      <c r="A97" s="10"/>
      <c r="B97" s="37" t="str">
        <f t="shared" si="32"/>
        <v/>
      </c>
      <c r="C97" s="10"/>
      <c r="D97" s="41"/>
      <c r="E97" s="43" t="str">
        <f t="shared" si="33"/>
        <v/>
      </c>
      <c r="F97" s="43" t="str">
        <f t="shared" si="34"/>
        <v/>
      </c>
      <c r="G97" s="43" t="str">
        <f t="shared" si="35"/>
        <v/>
      </c>
      <c r="H97" s="43" t="str">
        <f t="shared" si="36"/>
        <v/>
      </c>
      <c r="I97" s="43" t="str">
        <f t="shared" si="37"/>
        <v/>
      </c>
      <c r="J97" s="43" t="str">
        <f t="shared" si="38"/>
        <v/>
      </c>
      <c r="K97" s="33"/>
      <c r="L97" s="4"/>
    </row>
    <row r="98" spans="1:12" x14ac:dyDescent="0.3">
      <c r="A98" s="10"/>
      <c r="B98" s="37" t="str">
        <f t="shared" si="32"/>
        <v/>
      </c>
      <c r="C98" s="10"/>
      <c r="D98" s="41"/>
      <c r="E98" s="43" t="str">
        <f t="shared" si="33"/>
        <v/>
      </c>
      <c r="F98" s="43" t="str">
        <f t="shared" si="34"/>
        <v/>
      </c>
      <c r="G98" s="43" t="str">
        <f t="shared" si="35"/>
        <v/>
      </c>
      <c r="H98" s="43" t="str">
        <f>IF($A98="full day holiday",7.5/24,IF($A98="1/2 day holiday",3.75/24,""))</f>
        <v/>
      </c>
      <c r="I98" s="43" t="str">
        <f t="shared" si="37"/>
        <v/>
      </c>
      <c r="J98" s="43" t="str">
        <f t="shared" si="38"/>
        <v/>
      </c>
      <c r="K98" s="33"/>
      <c r="L98" s="4"/>
    </row>
    <row r="99" spans="1:12" x14ac:dyDescent="0.3">
      <c r="A99" s="10"/>
      <c r="B99" s="37" t="str">
        <f t="shared" si="32"/>
        <v/>
      </c>
      <c r="C99" s="10"/>
      <c r="D99" s="41"/>
      <c r="E99" s="43" t="str">
        <f t="shared" si="33"/>
        <v/>
      </c>
      <c r="F99" s="43" t="str">
        <f t="shared" si="34"/>
        <v/>
      </c>
      <c r="G99" s="43" t="str">
        <f t="shared" si="35"/>
        <v/>
      </c>
      <c r="H99" s="43" t="str">
        <f t="shared" si="36"/>
        <v/>
      </c>
      <c r="I99" s="43" t="str">
        <f t="shared" si="37"/>
        <v/>
      </c>
      <c r="J99" s="43" t="str">
        <f>IF($A99="full day sick",7.5/24,IF($A99="1/2 day sick",3.75/24,""))</f>
        <v/>
      </c>
      <c r="K99" s="33"/>
      <c r="L99" s="4"/>
    </row>
    <row r="100" spans="1:12" x14ac:dyDescent="0.3">
      <c r="A100" s="10"/>
      <c r="B100" s="37" t="str">
        <f t="shared" si="32"/>
        <v/>
      </c>
      <c r="C100" s="10"/>
      <c r="D100" s="41"/>
      <c r="E100" s="43" t="str">
        <f t="shared" si="33"/>
        <v/>
      </c>
      <c r="F100" s="43" t="str">
        <f t="shared" si="34"/>
        <v/>
      </c>
      <c r="G100" s="43" t="str">
        <f t="shared" si="35"/>
        <v/>
      </c>
      <c r="H100" s="43" t="str">
        <f t="shared" si="36"/>
        <v/>
      </c>
      <c r="I100" s="43" t="str">
        <f t="shared" si="37"/>
        <v/>
      </c>
      <c r="J100" s="43" t="str">
        <f t="shared" si="38"/>
        <v/>
      </c>
      <c r="K100" s="33"/>
      <c r="L100" s="4"/>
    </row>
    <row r="101" spans="1:12" x14ac:dyDescent="0.3">
      <c r="A101" s="10"/>
      <c r="B101" s="37" t="str">
        <f t="shared" si="32"/>
        <v/>
      </c>
      <c r="C101" s="10"/>
      <c r="D101" s="41"/>
      <c r="E101" s="43" t="str">
        <f t="shared" si="33"/>
        <v/>
      </c>
      <c r="F101" s="43" t="str">
        <f t="shared" si="34"/>
        <v/>
      </c>
      <c r="G101" s="43" t="str">
        <f t="shared" si="35"/>
        <v/>
      </c>
      <c r="H101" s="43" t="str">
        <f t="shared" si="36"/>
        <v/>
      </c>
      <c r="I101" s="43" t="str">
        <f t="shared" si="37"/>
        <v/>
      </c>
      <c r="J101" s="43" t="str">
        <f t="shared" si="38"/>
        <v/>
      </c>
      <c r="K101" s="33"/>
      <c r="L101" s="4"/>
    </row>
    <row r="102" spans="1:12" x14ac:dyDescent="0.3">
      <c r="A102" s="10"/>
      <c r="B102" s="37" t="str">
        <f t="shared" si="32"/>
        <v/>
      </c>
      <c r="C102" s="10"/>
      <c r="D102" s="41"/>
      <c r="E102" s="43" t="str">
        <f t="shared" si="33"/>
        <v/>
      </c>
      <c r="F102" s="43" t="str">
        <f t="shared" si="34"/>
        <v/>
      </c>
      <c r="G102" s="43" t="str">
        <f t="shared" si="35"/>
        <v/>
      </c>
      <c r="H102" s="43" t="str">
        <f t="shared" si="36"/>
        <v/>
      </c>
      <c r="I102" s="43" t="str">
        <f t="shared" si="37"/>
        <v/>
      </c>
      <c r="J102" s="43" t="str">
        <f t="shared" si="38"/>
        <v/>
      </c>
      <c r="K102" s="33"/>
      <c r="L102" s="4"/>
    </row>
    <row r="103" spans="1:12" x14ac:dyDescent="0.3">
      <c r="A103" s="10"/>
      <c r="B103" s="37" t="str">
        <f t="shared" si="32"/>
        <v/>
      </c>
      <c r="C103" s="10"/>
      <c r="D103" s="41"/>
      <c r="E103" s="43" t="str">
        <f t="shared" si="33"/>
        <v/>
      </c>
      <c r="F103" s="43" t="str">
        <f t="shared" si="34"/>
        <v/>
      </c>
      <c r="G103" s="43" t="str">
        <f t="shared" si="35"/>
        <v/>
      </c>
      <c r="H103" s="43" t="str">
        <f t="shared" si="36"/>
        <v/>
      </c>
      <c r="I103" s="43" t="str">
        <f t="shared" si="37"/>
        <v/>
      </c>
      <c r="J103" s="43" t="str">
        <f t="shared" si="38"/>
        <v/>
      </c>
      <c r="K103" s="33"/>
      <c r="L103" s="4"/>
    </row>
    <row r="104" spans="1:12" x14ac:dyDescent="0.3">
      <c r="A104" s="10"/>
      <c r="B104" s="37" t="str">
        <f t="shared" si="32"/>
        <v/>
      </c>
      <c r="C104" s="10"/>
      <c r="D104" s="41"/>
      <c r="E104" s="43" t="str">
        <f t="shared" si="33"/>
        <v/>
      </c>
      <c r="F104" s="43" t="str">
        <f t="shared" si="34"/>
        <v/>
      </c>
      <c r="G104" s="43" t="str">
        <f t="shared" si="35"/>
        <v/>
      </c>
      <c r="H104" s="43" t="str">
        <f t="shared" si="36"/>
        <v/>
      </c>
      <c r="I104" s="43" t="str">
        <f t="shared" si="37"/>
        <v/>
      </c>
      <c r="J104" s="43" t="str">
        <f t="shared" si="38"/>
        <v/>
      </c>
      <c r="K104" s="33"/>
      <c r="L104" s="4"/>
    </row>
    <row r="105" spans="1:12" x14ac:dyDescent="0.3">
      <c r="A105" s="10"/>
      <c r="B105" s="37" t="str">
        <f t="shared" si="32"/>
        <v/>
      </c>
      <c r="C105" s="10"/>
      <c r="D105" s="41"/>
      <c r="E105" s="43" t="str">
        <f t="shared" si="33"/>
        <v/>
      </c>
      <c r="F105" s="43" t="str">
        <f t="shared" si="34"/>
        <v/>
      </c>
      <c r="G105" s="43" t="str">
        <f t="shared" si="35"/>
        <v/>
      </c>
      <c r="H105" s="43" t="str">
        <f t="shared" si="36"/>
        <v/>
      </c>
      <c r="I105" s="43" t="str">
        <f t="shared" si="37"/>
        <v/>
      </c>
      <c r="J105" s="43" t="str">
        <f t="shared" si="38"/>
        <v/>
      </c>
      <c r="K105" s="33"/>
      <c r="L105" s="4"/>
    </row>
    <row r="106" spans="1:12" x14ac:dyDescent="0.3">
      <c r="A106" s="10"/>
      <c r="B106" s="37" t="str">
        <f t="shared" si="32"/>
        <v/>
      </c>
      <c r="C106" s="10"/>
      <c r="D106" s="41"/>
      <c r="E106" s="43" t="str">
        <f t="shared" si="33"/>
        <v/>
      </c>
      <c r="F106" s="43" t="str">
        <f t="shared" si="34"/>
        <v/>
      </c>
      <c r="G106" s="43" t="str">
        <f t="shared" si="35"/>
        <v/>
      </c>
      <c r="H106" s="43" t="str">
        <f t="shared" si="36"/>
        <v/>
      </c>
      <c r="I106" s="43" t="str">
        <f t="shared" si="37"/>
        <v/>
      </c>
      <c r="J106" s="43" t="str">
        <f t="shared" si="38"/>
        <v/>
      </c>
      <c r="K106" s="33"/>
      <c r="L106" s="4"/>
    </row>
    <row r="107" spans="1:12" x14ac:dyDescent="0.3">
      <c r="A107" s="10"/>
      <c r="B107" s="37" t="str">
        <f t="shared" si="32"/>
        <v/>
      </c>
      <c r="C107" s="10"/>
      <c r="D107" s="41"/>
      <c r="E107" s="43" t="str">
        <f t="shared" si="33"/>
        <v/>
      </c>
      <c r="F107" s="43" t="str">
        <f t="shared" si="34"/>
        <v/>
      </c>
      <c r="G107" s="43" t="str">
        <f t="shared" si="35"/>
        <v/>
      </c>
      <c r="H107" s="43" t="str">
        <f t="shared" si="36"/>
        <v/>
      </c>
      <c r="I107" s="43" t="str">
        <f t="shared" si="37"/>
        <v/>
      </c>
      <c r="J107" s="43" t="str">
        <f t="shared" si="38"/>
        <v/>
      </c>
      <c r="K107" s="33"/>
    </row>
    <row r="108" spans="1:12" x14ac:dyDescent="0.3">
      <c r="A108" s="13" t="s">
        <v>12</v>
      </c>
      <c r="B108" s="13"/>
      <c r="C108" s="13"/>
      <c r="D108" s="44"/>
      <c r="E108" s="45">
        <f>SUM(E89:E107)</f>
        <v>0</v>
      </c>
      <c r="F108" s="45">
        <f>SUM(F89:F107)</f>
        <v>0</v>
      </c>
      <c r="G108" s="45">
        <f>SUM(G89:G107)</f>
        <v>0</v>
      </c>
      <c r="H108" s="45">
        <f>SUM(H89:H107)</f>
        <v>0</v>
      </c>
      <c r="I108" s="45">
        <f t="shared" ref="I108:J108" si="39">SUM(I89:I107)</f>
        <v>0</v>
      </c>
      <c r="J108" s="45">
        <f t="shared" si="39"/>
        <v>0</v>
      </c>
      <c r="K108" s="29"/>
      <c r="L108" s="14"/>
    </row>
    <row r="109" spans="1:12" x14ac:dyDescent="0.3">
      <c r="A109" s="15"/>
      <c r="B109" s="15"/>
      <c r="C109" s="15"/>
      <c r="D109" s="40" t="s">
        <v>22</v>
      </c>
      <c r="E109" s="46"/>
      <c r="F109" s="46"/>
      <c r="G109" s="46"/>
      <c r="H109" s="46"/>
      <c r="I109" s="46"/>
      <c r="J109" s="46"/>
      <c r="K109" s="32"/>
      <c r="L109" s="4"/>
    </row>
    <row r="110" spans="1:12" x14ac:dyDescent="0.3">
      <c r="A110" s="16" t="s">
        <v>9</v>
      </c>
      <c r="B110" s="8"/>
      <c r="C110" s="9"/>
      <c r="D110" s="41">
        <v>0.375</v>
      </c>
      <c r="E110" s="47"/>
      <c r="F110" s="47"/>
      <c r="G110" s="47"/>
      <c r="H110" s="47"/>
      <c r="I110" s="47"/>
      <c r="J110" s="47"/>
      <c r="K110" s="33"/>
      <c r="L110" s="4"/>
    </row>
    <row r="111" spans="1:12" x14ac:dyDescent="0.3">
      <c r="A111" s="10"/>
      <c r="B111" s="37" t="str">
        <f t="shared" ref="B111:B128" si="40">IF(A111="","",INDEX(Number_list,MATCH(A111,Project_list,0)))</f>
        <v/>
      </c>
      <c r="C111" s="10"/>
      <c r="D111" s="41"/>
      <c r="E111" s="43" t="str">
        <f t="shared" ref="E111:E128" si="41">IF($A111="","",IF(LEFT(INDEX(Number_list,MATCH($A111,Project_list,0)),2)="20",$D111-$D110,""))</f>
        <v/>
      </c>
      <c r="F111" s="43" t="str">
        <f t="shared" ref="F111:F128" si="42">IF($A111="","",IF(LEFT(INDEX(Number_list,MATCH($A111,Project_list,0)),2)="NC",$D111-$D110,""))</f>
        <v/>
      </c>
      <c r="G111" s="43" t="str">
        <f t="shared" ref="G111:G128" si="43">IF($A111="","",IF(LEFT(INDEX(Number_list,MATCH($A111,Project_list,0)),5)="admin",$D111-$D110,""))</f>
        <v/>
      </c>
      <c r="H111" s="43" t="str">
        <f>IF($A111="full day holiday",7.5/24,IF($A111="1/2 day holiday",3.75/24,""))</f>
        <v/>
      </c>
      <c r="I111" s="43" t="str">
        <f>IF($A111="bank holiday",7.5/24,"")</f>
        <v/>
      </c>
      <c r="J111" s="43" t="str">
        <f>IF($A111="full day sick",7.5/24,IF($A111="1/2 day sick",3.75/24,""))</f>
        <v/>
      </c>
      <c r="K111" s="33"/>
      <c r="L111" s="4"/>
    </row>
    <row r="112" spans="1:12" x14ac:dyDescent="0.3">
      <c r="A112" s="10"/>
      <c r="B112" s="37" t="str">
        <f t="shared" si="40"/>
        <v/>
      </c>
      <c r="C112" s="10"/>
      <c r="D112" s="41"/>
      <c r="E112" s="43" t="str">
        <f t="shared" si="41"/>
        <v/>
      </c>
      <c r="F112" s="43" t="str">
        <f t="shared" si="42"/>
        <v/>
      </c>
      <c r="G112" s="43" t="str">
        <f t="shared" si="43"/>
        <v/>
      </c>
      <c r="H112" s="43" t="str">
        <f t="shared" ref="H112:H128" si="44">IF($A112="full day holiday",7.5/24,IF($A112="1/2 day holiday",3.75/24,""))</f>
        <v/>
      </c>
      <c r="I112" s="43" t="str">
        <f t="shared" ref="I112:I128" si="45">IF($A112="bank holiday",7.5/24,"")</f>
        <v/>
      </c>
      <c r="J112" s="43" t="str">
        <f>IF($A112="full day sick",7.5/24,IF($A112="1/2 day sick",3.75/24,""))</f>
        <v/>
      </c>
      <c r="K112" s="33"/>
      <c r="L112" s="4"/>
    </row>
    <row r="113" spans="1:12" x14ac:dyDescent="0.3">
      <c r="A113" s="10"/>
      <c r="B113" s="37" t="str">
        <f t="shared" si="40"/>
        <v/>
      </c>
      <c r="C113" s="10"/>
      <c r="D113" s="41"/>
      <c r="E113" s="43" t="str">
        <f t="shared" si="41"/>
        <v/>
      </c>
      <c r="F113" s="43" t="str">
        <f t="shared" si="42"/>
        <v/>
      </c>
      <c r="G113" s="43" t="str">
        <f t="shared" si="43"/>
        <v/>
      </c>
      <c r="H113" s="43" t="str">
        <f t="shared" si="44"/>
        <v/>
      </c>
      <c r="I113" s="43" t="str">
        <f t="shared" si="45"/>
        <v/>
      </c>
      <c r="J113" s="43" t="str">
        <f t="shared" ref="J113:J128" si="46">IF($A113="full day sick",7.5/24,IF($A113="1/2 day sick",3.75/24,""))</f>
        <v/>
      </c>
      <c r="K113" s="33"/>
      <c r="L113" s="4"/>
    </row>
    <row r="114" spans="1:12" x14ac:dyDescent="0.3">
      <c r="A114" s="10"/>
      <c r="B114" s="37" t="str">
        <f t="shared" si="40"/>
        <v/>
      </c>
      <c r="C114" s="10"/>
      <c r="D114" s="41"/>
      <c r="E114" s="43" t="str">
        <f t="shared" si="41"/>
        <v/>
      </c>
      <c r="F114" s="43" t="str">
        <f t="shared" si="42"/>
        <v/>
      </c>
      <c r="G114" s="43" t="str">
        <f t="shared" si="43"/>
        <v/>
      </c>
      <c r="H114" s="43" t="str">
        <f t="shared" si="44"/>
        <v/>
      </c>
      <c r="I114" s="43" t="str">
        <f t="shared" si="45"/>
        <v/>
      </c>
      <c r="J114" s="43" t="str">
        <f t="shared" si="46"/>
        <v/>
      </c>
      <c r="K114" s="33"/>
      <c r="L114" s="4"/>
    </row>
    <row r="115" spans="1:12" x14ac:dyDescent="0.3">
      <c r="A115" s="10"/>
      <c r="B115" s="37" t="str">
        <f t="shared" si="40"/>
        <v/>
      </c>
      <c r="C115" s="10"/>
      <c r="D115" s="41"/>
      <c r="E115" s="43" t="str">
        <f t="shared" si="41"/>
        <v/>
      </c>
      <c r="F115" s="43" t="str">
        <f t="shared" si="42"/>
        <v/>
      </c>
      <c r="G115" s="43" t="str">
        <f t="shared" si="43"/>
        <v/>
      </c>
      <c r="H115" s="43" t="str">
        <f t="shared" si="44"/>
        <v/>
      </c>
      <c r="I115" s="43" t="str">
        <f t="shared" si="45"/>
        <v/>
      </c>
      <c r="J115" s="43" t="str">
        <f t="shared" si="46"/>
        <v/>
      </c>
      <c r="K115" s="33"/>
      <c r="L115" s="4"/>
    </row>
    <row r="116" spans="1:12" x14ac:dyDescent="0.3">
      <c r="A116" s="10"/>
      <c r="B116" s="37" t="str">
        <f t="shared" si="40"/>
        <v/>
      </c>
      <c r="C116" s="10"/>
      <c r="D116" s="41"/>
      <c r="E116" s="43" t="str">
        <f t="shared" si="41"/>
        <v/>
      </c>
      <c r="F116" s="43" t="str">
        <f t="shared" si="42"/>
        <v/>
      </c>
      <c r="G116" s="43" t="str">
        <f t="shared" si="43"/>
        <v/>
      </c>
      <c r="H116" s="43" t="str">
        <f t="shared" si="44"/>
        <v/>
      </c>
      <c r="I116" s="43" t="str">
        <f t="shared" si="45"/>
        <v/>
      </c>
      <c r="J116" s="43" t="str">
        <f t="shared" si="46"/>
        <v/>
      </c>
      <c r="K116" s="33"/>
      <c r="L116" s="4"/>
    </row>
    <row r="117" spans="1:12" x14ac:dyDescent="0.3">
      <c r="A117" s="10"/>
      <c r="B117" s="37" t="str">
        <f t="shared" si="40"/>
        <v/>
      </c>
      <c r="C117" s="10"/>
      <c r="D117" s="41"/>
      <c r="E117" s="43" t="str">
        <f t="shared" si="41"/>
        <v/>
      </c>
      <c r="F117" s="43" t="str">
        <f t="shared" si="42"/>
        <v/>
      </c>
      <c r="G117" s="43" t="str">
        <f t="shared" si="43"/>
        <v/>
      </c>
      <c r="H117" s="43" t="str">
        <f t="shared" si="44"/>
        <v/>
      </c>
      <c r="I117" s="43" t="str">
        <f t="shared" si="45"/>
        <v/>
      </c>
      <c r="J117" s="43" t="str">
        <f t="shared" si="46"/>
        <v/>
      </c>
      <c r="K117" s="33"/>
      <c r="L117" s="4"/>
    </row>
    <row r="118" spans="1:12" x14ac:dyDescent="0.3">
      <c r="A118" s="10"/>
      <c r="B118" s="37" t="str">
        <f t="shared" si="40"/>
        <v/>
      </c>
      <c r="C118" s="10"/>
      <c r="D118" s="41"/>
      <c r="E118" s="43" t="str">
        <f t="shared" si="41"/>
        <v/>
      </c>
      <c r="F118" s="43" t="str">
        <f t="shared" si="42"/>
        <v/>
      </c>
      <c r="G118" s="43" t="str">
        <f t="shared" si="43"/>
        <v/>
      </c>
      <c r="H118" s="43" t="str">
        <f t="shared" si="44"/>
        <v/>
      </c>
      <c r="I118" s="43" t="str">
        <f t="shared" si="45"/>
        <v/>
      </c>
      <c r="J118" s="43" t="str">
        <f t="shared" si="46"/>
        <v/>
      </c>
      <c r="K118" s="33"/>
      <c r="L118" s="4"/>
    </row>
    <row r="119" spans="1:12" x14ac:dyDescent="0.3">
      <c r="A119" s="10"/>
      <c r="B119" s="37" t="str">
        <f t="shared" si="40"/>
        <v/>
      </c>
      <c r="C119" s="10"/>
      <c r="D119" s="41"/>
      <c r="E119" s="43" t="str">
        <f t="shared" si="41"/>
        <v/>
      </c>
      <c r="F119" s="43" t="str">
        <f t="shared" si="42"/>
        <v/>
      </c>
      <c r="G119" s="43" t="str">
        <f t="shared" si="43"/>
        <v/>
      </c>
      <c r="H119" s="43" t="str">
        <f>IF($A119="full day holiday",7.5/24,IF($A119="1/2 day holiday",3.75/24,""))</f>
        <v/>
      </c>
      <c r="I119" s="43" t="str">
        <f t="shared" si="45"/>
        <v/>
      </c>
      <c r="J119" s="43" t="str">
        <f t="shared" si="46"/>
        <v/>
      </c>
      <c r="K119" s="33"/>
      <c r="L119" s="4"/>
    </row>
    <row r="120" spans="1:12" x14ac:dyDescent="0.3">
      <c r="A120" s="10"/>
      <c r="B120" s="37" t="str">
        <f t="shared" si="40"/>
        <v/>
      </c>
      <c r="C120" s="10"/>
      <c r="D120" s="41"/>
      <c r="E120" s="43" t="str">
        <f t="shared" si="41"/>
        <v/>
      </c>
      <c r="F120" s="43" t="str">
        <f t="shared" si="42"/>
        <v/>
      </c>
      <c r="G120" s="43" t="str">
        <f t="shared" si="43"/>
        <v/>
      </c>
      <c r="H120" s="43" t="str">
        <f t="shared" si="44"/>
        <v/>
      </c>
      <c r="I120" s="43" t="str">
        <f t="shared" si="45"/>
        <v/>
      </c>
      <c r="J120" s="43" t="str">
        <f>IF($A120="full day sick",7.5/24,IF($A120="1/2 day sick",3.75/24,""))</f>
        <v/>
      </c>
      <c r="K120" s="33"/>
      <c r="L120" s="4"/>
    </row>
    <row r="121" spans="1:12" x14ac:dyDescent="0.3">
      <c r="A121" s="10"/>
      <c r="B121" s="37" t="str">
        <f t="shared" si="40"/>
        <v/>
      </c>
      <c r="C121" s="10"/>
      <c r="D121" s="41"/>
      <c r="E121" s="43" t="str">
        <f t="shared" si="41"/>
        <v/>
      </c>
      <c r="F121" s="43" t="str">
        <f t="shared" si="42"/>
        <v/>
      </c>
      <c r="G121" s="43" t="str">
        <f t="shared" si="43"/>
        <v/>
      </c>
      <c r="H121" s="43" t="str">
        <f t="shared" si="44"/>
        <v/>
      </c>
      <c r="I121" s="43" t="str">
        <f t="shared" si="45"/>
        <v/>
      </c>
      <c r="J121" s="43" t="str">
        <f t="shared" si="46"/>
        <v/>
      </c>
      <c r="K121" s="33"/>
      <c r="L121" s="4"/>
    </row>
    <row r="122" spans="1:12" x14ac:dyDescent="0.3">
      <c r="A122" s="10"/>
      <c r="B122" s="37" t="str">
        <f t="shared" si="40"/>
        <v/>
      </c>
      <c r="C122" s="10"/>
      <c r="D122" s="41"/>
      <c r="E122" s="43" t="str">
        <f t="shared" si="41"/>
        <v/>
      </c>
      <c r="F122" s="43" t="str">
        <f t="shared" si="42"/>
        <v/>
      </c>
      <c r="G122" s="43" t="str">
        <f t="shared" si="43"/>
        <v/>
      </c>
      <c r="H122" s="43" t="str">
        <f t="shared" si="44"/>
        <v/>
      </c>
      <c r="I122" s="43" t="str">
        <f t="shared" si="45"/>
        <v/>
      </c>
      <c r="J122" s="43" t="str">
        <f t="shared" si="46"/>
        <v/>
      </c>
      <c r="K122" s="33"/>
      <c r="L122" s="4"/>
    </row>
    <row r="123" spans="1:12" x14ac:dyDescent="0.3">
      <c r="A123" s="10"/>
      <c r="B123" s="37" t="str">
        <f t="shared" si="40"/>
        <v/>
      </c>
      <c r="C123" s="10"/>
      <c r="D123" s="41"/>
      <c r="E123" s="43" t="str">
        <f t="shared" si="41"/>
        <v/>
      </c>
      <c r="F123" s="43" t="str">
        <f t="shared" si="42"/>
        <v/>
      </c>
      <c r="G123" s="43" t="str">
        <f t="shared" si="43"/>
        <v/>
      </c>
      <c r="H123" s="43" t="str">
        <f t="shared" si="44"/>
        <v/>
      </c>
      <c r="I123" s="43" t="str">
        <f t="shared" si="45"/>
        <v/>
      </c>
      <c r="J123" s="43" t="str">
        <f t="shared" si="46"/>
        <v/>
      </c>
      <c r="K123" s="33"/>
      <c r="L123" s="4"/>
    </row>
    <row r="124" spans="1:12" x14ac:dyDescent="0.3">
      <c r="A124" s="10"/>
      <c r="B124" s="37" t="str">
        <f t="shared" si="40"/>
        <v/>
      </c>
      <c r="C124" s="10"/>
      <c r="D124" s="41"/>
      <c r="E124" s="43" t="str">
        <f t="shared" si="41"/>
        <v/>
      </c>
      <c r="F124" s="43" t="str">
        <f t="shared" si="42"/>
        <v/>
      </c>
      <c r="G124" s="43" t="str">
        <f t="shared" si="43"/>
        <v/>
      </c>
      <c r="H124" s="43" t="str">
        <f t="shared" si="44"/>
        <v/>
      </c>
      <c r="I124" s="43" t="str">
        <f t="shared" si="45"/>
        <v/>
      </c>
      <c r="J124" s="43" t="str">
        <f t="shared" si="46"/>
        <v/>
      </c>
      <c r="K124" s="33"/>
      <c r="L124" s="4"/>
    </row>
    <row r="125" spans="1:12" x14ac:dyDescent="0.3">
      <c r="A125" s="10"/>
      <c r="B125" s="37" t="str">
        <f t="shared" si="40"/>
        <v/>
      </c>
      <c r="C125" s="10"/>
      <c r="D125" s="41"/>
      <c r="E125" s="43" t="str">
        <f t="shared" si="41"/>
        <v/>
      </c>
      <c r="F125" s="43" t="str">
        <f t="shared" si="42"/>
        <v/>
      </c>
      <c r="G125" s="43" t="str">
        <f t="shared" si="43"/>
        <v/>
      </c>
      <c r="H125" s="43" t="str">
        <f t="shared" si="44"/>
        <v/>
      </c>
      <c r="I125" s="43" t="str">
        <f t="shared" si="45"/>
        <v/>
      </c>
      <c r="J125" s="43" t="str">
        <f t="shared" si="46"/>
        <v/>
      </c>
      <c r="K125" s="33"/>
      <c r="L125" s="4"/>
    </row>
    <row r="126" spans="1:12" x14ac:dyDescent="0.3">
      <c r="A126" s="10"/>
      <c r="B126" s="37" t="str">
        <f t="shared" si="40"/>
        <v/>
      </c>
      <c r="C126" s="10"/>
      <c r="D126" s="41"/>
      <c r="E126" s="43" t="str">
        <f t="shared" si="41"/>
        <v/>
      </c>
      <c r="F126" s="43" t="str">
        <f t="shared" si="42"/>
        <v/>
      </c>
      <c r="G126" s="43" t="str">
        <f t="shared" si="43"/>
        <v/>
      </c>
      <c r="H126" s="43" t="str">
        <f t="shared" si="44"/>
        <v/>
      </c>
      <c r="I126" s="43" t="str">
        <f t="shared" si="45"/>
        <v/>
      </c>
      <c r="J126" s="43" t="str">
        <f t="shared" si="46"/>
        <v/>
      </c>
      <c r="K126" s="33"/>
      <c r="L126" s="4"/>
    </row>
    <row r="127" spans="1:12" x14ac:dyDescent="0.3">
      <c r="A127" s="10"/>
      <c r="B127" s="37" t="str">
        <f t="shared" si="40"/>
        <v/>
      </c>
      <c r="C127" s="10"/>
      <c r="D127" s="41"/>
      <c r="E127" s="43" t="str">
        <f t="shared" si="41"/>
        <v/>
      </c>
      <c r="F127" s="43" t="str">
        <f t="shared" si="42"/>
        <v/>
      </c>
      <c r="G127" s="43" t="str">
        <f t="shared" si="43"/>
        <v/>
      </c>
      <c r="H127" s="43" t="str">
        <f t="shared" si="44"/>
        <v/>
      </c>
      <c r="I127" s="43" t="str">
        <f t="shared" si="45"/>
        <v/>
      </c>
      <c r="J127" s="43" t="str">
        <f t="shared" si="46"/>
        <v/>
      </c>
      <c r="K127" s="33"/>
      <c r="L127" s="4"/>
    </row>
    <row r="128" spans="1:12" x14ac:dyDescent="0.3">
      <c r="A128" s="10"/>
      <c r="B128" s="37" t="str">
        <f t="shared" si="40"/>
        <v/>
      </c>
      <c r="C128" s="10"/>
      <c r="D128" s="41"/>
      <c r="E128" s="43" t="str">
        <f t="shared" si="41"/>
        <v/>
      </c>
      <c r="F128" s="43" t="str">
        <f t="shared" si="42"/>
        <v/>
      </c>
      <c r="G128" s="43" t="str">
        <f t="shared" si="43"/>
        <v/>
      </c>
      <c r="H128" s="43" t="str">
        <f t="shared" si="44"/>
        <v/>
      </c>
      <c r="I128" s="43" t="str">
        <f t="shared" si="45"/>
        <v/>
      </c>
      <c r="J128" s="43" t="str">
        <f t="shared" si="46"/>
        <v/>
      </c>
      <c r="K128" s="33"/>
    </row>
    <row r="129" spans="1:12" x14ac:dyDescent="0.3">
      <c r="A129" s="13" t="s">
        <v>12</v>
      </c>
      <c r="B129" s="13"/>
      <c r="C129" s="13"/>
      <c r="D129" s="44"/>
      <c r="E129" s="45">
        <f>SUM(E110:E128)</f>
        <v>0</v>
      </c>
      <c r="F129" s="45">
        <f>SUM(F110:F128)</f>
        <v>0</v>
      </c>
      <c r="G129" s="45">
        <f>SUM(G110:G128)</f>
        <v>0</v>
      </c>
      <c r="H129" s="45">
        <f>SUM(H110:H128)</f>
        <v>0</v>
      </c>
      <c r="I129" s="45">
        <f t="shared" ref="I129:J129" si="47">SUM(I110:I128)</f>
        <v>0</v>
      </c>
      <c r="J129" s="45">
        <f t="shared" si="47"/>
        <v>0</v>
      </c>
      <c r="K129" s="29"/>
      <c r="L129" s="14"/>
    </row>
    <row r="130" spans="1:12" x14ac:dyDescent="0.3">
      <c r="A130" s="15"/>
      <c r="B130" s="15"/>
      <c r="C130" s="15"/>
      <c r="D130" s="40" t="s">
        <v>21</v>
      </c>
      <c r="E130" s="46"/>
      <c r="F130" s="46"/>
      <c r="G130" s="46"/>
      <c r="H130" s="46"/>
      <c r="I130" s="46"/>
      <c r="J130" s="46"/>
      <c r="K130" s="32"/>
      <c r="L130" s="4"/>
    </row>
    <row r="131" spans="1:12" x14ac:dyDescent="0.3">
      <c r="A131" s="16" t="s">
        <v>9</v>
      </c>
      <c r="B131" s="8"/>
      <c r="C131" s="9"/>
      <c r="D131" s="41">
        <v>0.375</v>
      </c>
      <c r="E131" s="47"/>
      <c r="F131" s="47"/>
      <c r="G131" s="47"/>
      <c r="H131" s="47"/>
      <c r="I131" s="47"/>
      <c r="J131" s="47"/>
      <c r="K131" s="33"/>
      <c r="L131" s="4"/>
    </row>
    <row r="132" spans="1:12" x14ac:dyDescent="0.3">
      <c r="A132" s="10"/>
      <c r="B132" s="37" t="str">
        <f t="shared" ref="B132:B149" si="48">IF(A132="","",INDEX(Number_list,MATCH(A132,Project_list,0)))</f>
        <v/>
      </c>
      <c r="C132" s="10"/>
      <c r="D132" s="41"/>
      <c r="E132" s="43" t="str">
        <f t="shared" ref="E132:E149" si="49">IF($A132="","",IF(LEFT(INDEX(Number_list,MATCH($A132,Project_list,0)),2)="20",$D132-$D131,""))</f>
        <v/>
      </c>
      <c r="F132" s="43" t="str">
        <f t="shared" ref="F132:F149" si="50">IF($A132="","",IF(LEFT(INDEX(Number_list,MATCH($A132,Project_list,0)),2)="NC",$D132-$D131,""))</f>
        <v/>
      </c>
      <c r="G132" s="43" t="str">
        <f t="shared" ref="G132:G149" si="51">IF($A132="","",IF(LEFT(INDEX(Number_list,MATCH($A132,Project_list,0)),5)="admin",$D132-$D131,""))</f>
        <v/>
      </c>
      <c r="H132" s="43" t="str">
        <f>IF($A132="full day holiday",7.5/24,IF($A132="1/2 day holiday",3.75/24,""))</f>
        <v/>
      </c>
      <c r="I132" s="43" t="str">
        <f>IF($A132="bank holiday",7.5/24,"")</f>
        <v/>
      </c>
      <c r="J132" s="43" t="str">
        <f>IF($A132="full day sick",7.5/24,IF($A132="1/2 day sick",3.75/24,""))</f>
        <v/>
      </c>
      <c r="K132" s="33"/>
      <c r="L132" s="4"/>
    </row>
    <row r="133" spans="1:12" x14ac:dyDescent="0.3">
      <c r="A133" s="10"/>
      <c r="B133" s="37" t="str">
        <f t="shared" si="48"/>
        <v/>
      </c>
      <c r="C133" s="10"/>
      <c r="D133" s="41"/>
      <c r="E133" s="43" t="str">
        <f t="shared" si="49"/>
        <v/>
      </c>
      <c r="F133" s="43" t="str">
        <f t="shared" si="50"/>
        <v/>
      </c>
      <c r="G133" s="43" t="str">
        <f t="shared" si="51"/>
        <v/>
      </c>
      <c r="H133" s="43" t="str">
        <f t="shared" ref="H133:H149" si="52">IF($A133="full day holiday",7.5/24,IF($A133="1/2 day holiday",3.75/24,""))</f>
        <v/>
      </c>
      <c r="I133" s="43" t="str">
        <f t="shared" ref="I133:I149" si="53">IF($A133="bank holiday",7.5/24,"")</f>
        <v/>
      </c>
      <c r="J133" s="43" t="str">
        <f>IF($A133="full day sick",7.5/24,IF($A133="1/2 day sick",3.75/24,""))</f>
        <v/>
      </c>
      <c r="K133" s="33"/>
      <c r="L133" s="4"/>
    </row>
    <row r="134" spans="1:12" x14ac:dyDescent="0.3">
      <c r="A134" s="10"/>
      <c r="B134" s="37" t="str">
        <f t="shared" si="48"/>
        <v/>
      </c>
      <c r="C134" s="10"/>
      <c r="D134" s="41"/>
      <c r="E134" s="43" t="str">
        <f t="shared" si="49"/>
        <v/>
      </c>
      <c r="F134" s="43" t="str">
        <f t="shared" si="50"/>
        <v/>
      </c>
      <c r="G134" s="43" t="str">
        <f t="shared" si="51"/>
        <v/>
      </c>
      <c r="H134" s="43" t="str">
        <f t="shared" si="52"/>
        <v/>
      </c>
      <c r="I134" s="43" t="str">
        <f t="shared" si="53"/>
        <v/>
      </c>
      <c r="J134" s="43" t="str">
        <f t="shared" ref="J134:J149" si="54">IF($A134="full day sick",7.5/24,IF($A134="1/2 day sick",3.75/24,""))</f>
        <v/>
      </c>
      <c r="K134" s="33"/>
      <c r="L134" s="4"/>
    </row>
    <row r="135" spans="1:12" x14ac:dyDescent="0.3">
      <c r="A135" s="10"/>
      <c r="B135" s="37" t="str">
        <f t="shared" si="48"/>
        <v/>
      </c>
      <c r="C135" s="10"/>
      <c r="D135" s="41"/>
      <c r="E135" s="43" t="str">
        <f t="shared" si="49"/>
        <v/>
      </c>
      <c r="F135" s="43" t="str">
        <f t="shared" si="50"/>
        <v/>
      </c>
      <c r="G135" s="43" t="str">
        <f t="shared" si="51"/>
        <v/>
      </c>
      <c r="H135" s="43" t="str">
        <f t="shared" si="52"/>
        <v/>
      </c>
      <c r="I135" s="43" t="str">
        <f t="shared" si="53"/>
        <v/>
      </c>
      <c r="J135" s="43" t="str">
        <f t="shared" si="54"/>
        <v/>
      </c>
      <c r="K135" s="33"/>
      <c r="L135" s="4"/>
    </row>
    <row r="136" spans="1:12" x14ac:dyDescent="0.3">
      <c r="A136" s="10"/>
      <c r="B136" s="37" t="str">
        <f t="shared" si="48"/>
        <v/>
      </c>
      <c r="C136" s="10"/>
      <c r="D136" s="41"/>
      <c r="E136" s="43" t="str">
        <f t="shared" si="49"/>
        <v/>
      </c>
      <c r="F136" s="43" t="str">
        <f t="shared" si="50"/>
        <v/>
      </c>
      <c r="G136" s="43" t="str">
        <f t="shared" si="51"/>
        <v/>
      </c>
      <c r="H136" s="43" t="str">
        <f t="shared" si="52"/>
        <v/>
      </c>
      <c r="I136" s="43" t="str">
        <f t="shared" si="53"/>
        <v/>
      </c>
      <c r="J136" s="43" t="str">
        <f t="shared" si="54"/>
        <v/>
      </c>
      <c r="K136" s="33"/>
      <c r="L136" s="4"/>
    </row>
    <row r="137" spans="1:12" x14ac:dyDescent="0.3">
      <c r="A137" s="10"/>
      <c r="B137" s="37" t="str">
        <f t="shared" si="48"/>
        <v/>
      </c>
      <c r="C137" s="10"/>
      <c r="D137" s="41"/>
      <c r="E137" s="43" t="str">
        <f t="shared" si="49"/>
        <v/>
      </c>
      <c r="F137" s="43" t="str">
        <f t="shared" si="50"/>
        <v/>
      </c>
      <c r="G137" s="43" t="str">
        <f t="shared" si="51"/>
        <v/>
      </c>
      <c r="H137" s="43" t="str">
        <f t="shared" si="52"/>
        <v/>
      </c>
      <c r="I137" s="43" t="str">
        <f t="shared" si="53"/>
        <v/>
      </c>
      <c r="J137" s="43" t="str">
        <f t="shared" si="54"/>
        <v/>
      </c>
      <c r="K137" s="33"/>
      <c r="L137" s="4"/>
    </row>
    <row r="138" spans="1:12" x14ac:dyDescent="0.3">
      <c r="A138" s="10"/>
      <c r="B138" s="37" t="str">
        <f t="shared" si="48"/>
        <v/>
      </c>
      <c r="C138" s="10"/>
      <c r="D138" s="41"/>
      <c r="E138" s="43" t="str">
        <f t="shared" si="49"/>
        <v/>
      </c>
      <c r="F138" s="43" t="str">
        <f t="shared" si="50"/>
        <v/>
      </c>
      <c r="G138" s="43" t="str">
        <f t="shared" si="51"/>
        <v/>
      </c>
      <c r="H138" s="43" t="str">
        <f t="shared" si="52"/>
        <v/>
      </c>
      <c r="I138" s="43" t="str">
        <f t="shared" si="53"/>
        <v/>
      </c>
      <c r="J138" s="43" t="str">
        <f t="shared" si="54"/>
        <v/>
      </c>
      <c r="K138" s="33"/>
      <c r="L138" s="4"/>
    </row>
    <row r="139" spans="1:12" x14ac:dyDescent="0.3">
      <c r="A139" s="10"/>
      <c r="B139" s="37" t="str">
        <f t="shared" si="48"/>
        <v/>
      </c>
      <c r="C139" s="10"/>
      <c r="D139" s="41"/>
      <c r="E139" s="43" t="str">
        <f t="shared" si="49"/>
        <v/>
      </c>
      <c r="F139" s="43" t="str">
        <f t="shared" si="50"/>
        <v/>
      </c>
      <c r="G139" s="43" t="str">
        <f t="shared" si="51"/>
        <v/>
      </c>
      <c r="H139" s="43" t="str">
        <f t="shared" si="52"/>
        <v/>
      </c>
      <c r="I139" s="43" t="str">
        <f t="shared" si="53"/>
        <v/>
      </c>
      <c r="J139" s="43" t="str">
        <f t="shared" si="54"/>
        <v/>
      </c>
      <c r="K139" s="33"/>
      <c r="L139" s="4"/>
    </row>
    <row r="140" spans="1:12" x14ac:dyDescent="0.3">
      <c r="A140" s="10"/>
      <c r="B140" s="37" t="str">
        <f t="shared" si="48"/>
        <v/>
      </c>
      <c r="C140" s="10"/>
      <c r="D140" s="41"/>
      <c r="E140" s="43" t="str">
        <f t="shared" si="49"/>
        <v/>
      </c>
      <c r="F140" s="43" t="str">
        <f t="shared" si="50"/>
        <v/>
      </c>
      <c r="G140" s="43" t="str">
        <f t="shared" si="51"/>
        <v/>
      </c>
      <c r="H140" s="43" t="str">
        <f>IF($A140="full day holiday",7.5/24,IF($A140="1/2 day holiday",3.75/24,""))</f>
        <v/>
      </c>
      <c r="I140" s="43" t="str">
        <f t="shared" si="53"/>
        <v/>
      </c>
      <c r="J140" s="43" t="str">
        <f t="shared" si="54"/>
        <v/>
      </c>
      <c r="K140" s="33"/>
      <c r="L140" s="4"/>
    </row>
    <row r="141" spans="1:12" x14ac:dyDescent="0.3">
      <c r="A141" s="10"/>
      <c r="B141" s="37" t="str">
        <f t="shared" si="48"/>
        <v/>
      </c>
      <c r="C141" s="10"/>
      <c r="D141" s="41"/>
      <c r="E141" s="43" t="str">
        <f t="shared" si="49"/>
        <v/>
      </c>
      <c r="F141" s="43" t="str">
        <f t="shared" si="50"/>
        <v/>
      </c>
      <c r="G141" s="43" t="str">
        <f t="shared" si="51"/>
        <v/>
      </c>
      <c r="H141" s="43" t="str">
        <f t="shared" si="52"/>
        <v/>
      </c>
      <c r="I141" s="43" t="str">
        <f t="shared" si="53"/>
        <v/>
      </c>
      <c r="J141" s="43" t="str">
        <f>IF($A141="full day sick",7.5/24,IF($A141="1/2 day sick",3.75/24,""))</f>
        <v/>
      </c>
      <c r="K141" s="33"/>
      <c r="L141" s="4"/>
    </row>
    <row r="142" spans="1:12" x14ac:dyDescent="0.3">
      <c r="A142" s="10"/>
      <c r="B142" s="37" t="str">
        <f t="shared" si="48"/>
        <v/>
      </c>
      <c r="C142" s="10"/>
      <c r="D142" s="41"/>
      <c r="E142" s="43" t="str">
        <f t="shared" si="49"/>
        <v/>
      </c>
      <c r="F142" s="43" t="str">
        <f t="shared" si="50"/>
        <v/>
      </c>
      <c r="G142" s="43" t="str">
        <f t="shared" si="51"/>
        <v/>
      </c>
      <c r="H142" s="43" t="str">
        <f t="shared" si="52"/>
        <v/>
      </c>
      <c r="I142" s="43" t="str">
        <f t="shared" si="53"/>
        <v/>
      </c>
      <c r="J142" s="43" t="str">
        <f t="shared" si="54"/>
        <v/>
      </c>
      <c r="K142" s="33"/>
      <c r="L142" s="4"/>
    </row>
    <row r="143" spans="1:12" x14ac:dyDescent="0.3">
      <c r="A143" s="10"/>
      <c r="B143" s="37" t="str">
        <f t="shared" si="48"/>
        <v/>
      </c>
      <c r="C143" s="10"/>
      <c r="D143" s="41"/>
      <c r="E143" s="43" t="str">
        <f t="shared" si="49"/>
        <v/>
      </c>
      <c r="F143" s="43" t="str">
        <f t="shared" si="50"/>
        <v/>
      </c>
      <c r="G143" s="43" t="str">
        <f t="shared" si="51"/>
        <v/>
      </c>
      <c r="H143" s="43" t="str">
        <f t="shared" si="52"/>
        <v/>
      </c>
      <c r="I143" s="43" t="str">
        <f t="shared" si="53"/>
        <v/>
      </c>
      <c r="J143" s="43" t="str">
        <f t="shared" si="54"/>
        <v/>
      </c>
      <c r="K143" s="33"/>
      <c r="L143" s="4"/>
    </row>
    <row r="144" spans="1:12" x14ac:dyDescent="0.3">
      <c r="A144" s="10"/>
      <c r="B144" s="37" t="str">
        <f t="shared" si="48"/>
        <v/>
      </c>
      <c r="C144" s="10"/>
      <c r="D144" s="41"/>
      <c r="E144" s="43" t="str">
        <f t="shared" si="49"/>
        <v/>
      </c>
      <c r="F144" s="43" t="str">
        <f t="shared" si="50"/>
        <v/>
      </c>
      <c r="G144" s="43" t="str">
        <f t="shared" si="51"/>
        <v/>
      </c>
      <c r="H144" s="43" t="str">
        <f t="shared" si="52"/>
        <v/>
      </c>
      <c r="I144" s="43" t="str">
        <f t="shared" si="53"/>
        <v/>
      </c>
      <c r="J144" s="43" t="str">
        <f t="shared" si="54"/>
        <v/>
      </c>
      <c r="K144" s="33"/>
      <c r="L144" s="4"/>
    </row>
    <row r="145" spans="1:13" x14ac:dyDescent="0.3">
      <c r="A145" s="10"/>
      <c r="B145" s="37" t="str">
        <f t="shared" si="48"/>
        <v/>
      </c>
      <c r="C145" s="10"/>
      <c r="D145" s="41"/>
      <c r="E145" s="43" t="str">
        <f t="shared" si="49"/>
        <v/>
      </c>
      <c r="F145" s="43" t="str">
        <f t="shared" si="50"/>
        <v/>
      </c>
      <c r="G145" s="43" t="str">
        <f t="shared" si="51"/>
        <v/>
      </c>
      <c r="H145" s="43" t="str">
        <f t="shared" si="52"/>
        <v/>
      </c>
      <c r="I145" s="43" t="str">
        <f t="shared" si="53"/>
        <v/>
      </c>
      <c r="J145" s="43" t="str">
        <f t="shared" si="54"/>
        <v/>
      </c>
      <c r="K145" s="33"/>
      <c r="L145" s="4"/>
    </row>
    <row r="146" spans="1:13" x14ac:dyDescent="0.3">
      <c r="A146" s="10"/>
      <c r="B146" s="37" t="str">
        <f t="shared" si="48"/>
        <v/>
      </c>
      <c r="C146" s="10"/>
      <c r="D146" s="41"/>
      <c r="E146" s="43" t="str">
        <f t="shared" si="49"/>
        <v/>
      </c>
      <c r="F146" s="43" t="str">
        <f t="shared" si="50"/>
        <v/>
      </c>
      <c r="G146" s="43" t="str">
        <f t="shared" si="51"/>
        <v/>
      </c>
      <c r="H146" s="43" t="str">
        <f t="shared" si="52"/>
        <v/>
      </c>
      <c r="I146" s="43" t="str">
        <f t="shared" si="53"/>
        <v/>
      </c>
      <c r="J146" s="43" t="str">
        <f t="shared" si="54"/>
        <v/>
      </c>
      <c r="K146" s="33"/>
      <c r="L146" s="4"/>
    </row>
    <row r="147" spans="1:13" x14ac:dyDescent="0.3">
      <c r="A147" s="10"/>
      <c r="B147" s="37" t="str">
        <f t="shared" si="48"/>
        <v/>
      </c>
      <c r="C147" s="10"/>
      <c r="D147" s="41"/>
      <c r="E147" s="43" t="str">
        <f t="shared" si="49"/>
        <v/>
      </c>
      <c r="F147" s="43" t="str">
        <f t="shared" si="50"/>
        <v/>
      </c>
      <c r="G147" s="43" t="str">
        <f t="shared" si="51"/>
        <v/>
      </c>
      <c r="H147" s="43" t="str">
        <f t="shared" si="52"/>
        <v/>
      </c>
      <c r="I147" s="43" t="str">
        <f t="shared" si="53"/>
        <v/>
      </c>
      <c r="J147" s="43" t="str">
        <f t="shared" si="54"/>
        <v/>
      </c>
      <c r="K147" s="33"/>
      <c r="L147" s="4"/>
    </row>
    <row r="148" spans="1:13" x14ac:dyDescent="0.3">
      <c r="A148" s="10"/>
      <c r="B148" s="37" t="str">
        <f t="shared" si="48"/>
        <v/>
      </c>
      <c r="C148" s="10"/>
      <c r="D148" s="41"/>
      <c r="E148" s="43" t="str">
        <f t="shared" si="49"/>
        <v/>
      </c>
      <c r="F148" s="43" t="str">
        <f t="shared" si="50"/>
        <v/>
      </c>
      <c r="G148" s="43" t="str">
        <f t="shared" si="51"/>
        <v/>
      </c>
      <c r="H148" s="43" t="str">
        <f t="shared" si="52"/>
        <v/>
      </c>
      <c r="I148" s="43" t="str">
        <f t="shared" si="53"/>
        <v/>
      </c>
      <c r="J148" s="43" t="str">
        <f t="shared" si="54"/>
        <v/>
      </c>
      <c r="K148" s="33"/>
      <c r="L148" s="4"/>
    </row>
    <row r="149" spans="1:13" x14ac:dyDescent="0.3">
      <c r="A149" s="10"/>
      <c r="B149" s="37" t="str">
        <f t="shared" si="48"/>
        <v/>
      </c>
      <c r="C149" s="10"/>
      <c r="D149" s="41"/>
      <c r="E149" s="43" t="str">
        <f t="shared" si="49"/>
        <v/>
      </c>
      <c r="F149" s="43" t="str">
        <f t="shared" si="50"/>
        <v/>
      </c>
      <c r="G149" s="43" t="str">
        <f t="shared" si="51"/>
        <v/>
      </c>
      <c r="H149" s="43" t="str">
        <f t="shared" si="52"/>
        <v/>
      </c>
      <c r="I149" s="43" t="str">
        <f t="shared" si="53"/>
        <v/>
      </c>
      <c r="J149" s="43" t="str">
        <f t="shared" si="54"/>
        <v/>
      </c>
      <c r="K149" s="33"/>
    </row>
    <row r="150" spans="1:13" x14ac:dyDescent="0.3">
      <c r="A150" s="13" t="s">
        <v>12</v>
      </c>
      <c r="B150" s="13"/>
      <c r="C150" s="13"/>
      <c r="D150" s="44"/>
      <c r="E150" s="45">
        <f>SUM(E131:E149)</f>
        <v>0</v>
      </c>
      <c r="F150" s="45">
        <f>SUM(F131:F149)</f>
        <v>0</v>
      </c>
      <c r="G150" s="45">
        <f>SUM(G131:G149)</f>
        <v>0</v>
      </c>
      <c r="H150" s="45">
        <f>SUM(H131:H149)</f>
        <v>0</v>
      </c>
      <c r="I150" s="45">
        <f t="shared" ref="I150:J150" si="55">SUM(I131:I149)</f>
        <v>0</v>
      </c>
      <c r="J150" s="45">
        <f t="shared" si="55"/>
        <v>0</v>
      </c>
      <c r="K150" s="29"/>
      <c r="L150" s="14"/>
    </row>
    <row r="151" spans="1:13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L151" s="6"/>
      <c r="M151" s="6"/>
    </row>
    <row r="152" spans="1:13" ht="31.2" x14ac:dyDescent="0.3">
      <c r="A152" s="6" t="s">
        <v>15</v>
      </c>
      <c r="B152" s="15"/>
      <c r="C152" s="15"/>
      <c r="D152" s="15"/>
      <c r="E152" s="5" t="str">
        <f>E4</f>
        <v>Projects</v>
      </c>
      <c r="F152" s="5" t="str">
        <f>F4</f>
        <v>Non-chargeable</v>
      </c>
      <c r="G152" s="5"/>
      <c r="H152" s="5" t="s">
        <v>6</v>
      </c>
      <c r="I152" s="5" t="s">
        <v>7</v>
      </c>
      <c r="J152" s="5" t="s">
        <v>8</v>
      </c>
      <c r="K152" s="28"/>
      <c r="L152" s="5" t="s">
        <v>16</v>
      </c>
      <c r="M152" s="5" t="s">
        <v>17</v>
      </c>
    </row>
    <row r="153" spans="1:13" x14ac:dyDescent="0.3">
      <c r="D153" s="12"/>
      <c r="E153" s="12">
        <f>E24+E45+E66+E87+E108+E129+E150</f>
        <v>0</v>
      </c>
      <c r="F153" s="12">
        <f>F24+F45+F66+F87+F108+F129+F150</f>
        <v>0</v>
      </c>
      <c r="G153" s="12">
        <f>G24+G45+G66+G87+G108+G129+G150</f>
        <v>0</v>
      </c>
      <c r="H153" s="12">
        <f>H24+H45+H66+H87+H108+H129+H150</f>
        <v>0</v>
      </c>
      <c r="I153" s="12">
        <f t="shared" ref="I153:J153" si="56">I24+I45+I66+I87+I108+I129+I150</f>
        <v>0</v>
      </c>
      <c r="J153" s="12">
        <f t="shared" si="56"/>
        <v>0</v>
      </c>
      <c r="K153" s="26"/>
      <c r="L153" s="12">
        <f>E153</f>
        <v>0</v>
      </c>
      <c r="M153" s="12">
        <f>E153+F153+G153</f>
        <v>0</v>
      </c>
    </row>
    <row r="155" spans="1:13" ht="35.4" customHeight="1" x14ac:dyDescent="0.3"/>
    <row r="156" spans="1:13" x14ac:dyDescent="0.3">
      <c r="D156" s="1"/>
      <c r="L156" s="17"/>
    </row>
    <row r="157" spans="1:13" x14ac:dyDescent="0.3">
      <c r="D157" s="1"/>
      <c r="L157" s="17"/>
    </row>
    <row r="158" spans="1:13" x14ac:dyDescent="0.3">
      <c r="F158" s="17"/>
      <c r="G158" s="17"/>
    </row>
    <row r="159" spans="1:13" x14ac:dyDescent="0.3">
      <c r="F159" s="17"/>
      <c r="G159" s="17"/>
    </row>
    <row r="160" spans="1:13" x14ac:dyDescent="0.3">
      <c r="F160" s="17"/>
      <c r="G160" s="17"/>
    </row>
  </sheetData>
  <dataValidations count="3">
    <dataValidation type="list" allowBlank="1" showInputMessage="1" showErrorMessage="1" sqref="A26 A47 A68 A89 A110 A131" xr:uid="{00000000-0002-0000-1100-000001000000}">
      <formula1>Project_table</formula1>
    </dataValidation>
    <dataValidation type="list" allowBlank="1" showInputMessage="1" showErrorMessage="1" sqref="A132:A149 A27:A44 A48:A65 A69:A86 A90:A107 A111:A128 A8:A23" xr:uid="{9BBEC0B3-E5FA-4FD2-B6B0-3D93A0AFF362}">
      <formula1>Project_list</formula1>
    </dataValidation>
    <dataValidation type="list" allowBlank="1" showDropDown="1" showInputMessage="1" showErrorMessage="1" sqref="A6 A7" xr:uid="{4DA4486B-266E-49CD-9714-30315DE94D64}">
      <formula1>Project_list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29704" r:id="rId4" name="TempCombo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0</xdr:row>
                <xdr:rowOff>388620</xdr:rowOff>
              </to>
            </anchor>
          </controlPr>
        </control>
      </mc:Choice>
      <mc:Fallback>
        <control shapeId="29704" r:id="rId4" name="TempCombo"/>
      </mc:Fallback>
    </mc:AlternateContent>
    <mc:AlternateContent xmlns:mc="http://schemas.openxmlformats.org/markup-compatibility/2006">
      <mc:Choice Requires="x14">
        <control shapeId="29699" r:id="rId6" name="Button 3">
          <controlPr defaultSize="0" print="0" autoFill="0" autoPict="0" macro="[0]!Copy_Sheet">
            <anchor moveWithCells="1" sizeWithCells="1">
              <from>
                <xdr:col>1</xdr:col>
                <xdr:colOff>114300</xdr:colOff>
                <xdr:row>0</xdr:row>
                <xdr:rowOff>472440</xdr:rowOff>
              </from>
              <to>
                <xdr:col>1</xdr:col>
                <xdr:colOff>1074420</xdr:colOff>
                <xdr:row>0</xdr:row>
                <xdr:rowOff>731520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706" r:id="rId7" name="Button 10">
          <controlPr defaultSize="0" print="0" autoFill="0" autoPict="0" macro="[0]!Transfer_Timesheet">
            <anchor moveWithCells="1" sizeWithCells="1">
              <from>
                <xdr:col>13</xdr:col>
                <xdr:colOff>60960</xdr:colOff>
                <xdr:row>154</xdr:row>
                <xdr:rowOff>99060</xdr:rowOff>
              </from>
              <to>
                <xdr:col>13</xdr:col>
                <xdr:colOff>1630680</xdr:colOff>
                <xdr:row>154</xdr:row>
                <xdr:rowOff>350520</xdr:rowOff>
              </to>
            </anchor>
          </controlPr>
        </control>
      </mc:Choice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DC1A-7FA6-4499-81E6-B28C70D4CECE}">
  <sheetPr codeName="Sheet33"/>
  <dimension ref="B2:C3"/>
  <sheetViews>
    <sheetView workbookViewId="0">
      <selection activeCell="C16" sqref="C16"/>
    </sheetView>
  </sheetViews>
  <sheetFormatPr defaultRowHeight="15.6" x14ac:dyDescent="0.3"/>
  <cols>
    <col min="3" max="3" width="13.09765625" bestFit="1" customWidth="1"/>
  </cols>
  <sheetData>
    <row r="2" spans="2:3" x14ac:dyDescent="0.3">
      <c r="B2" t="s">
        <v>23</v>
      </c>
      <c r="C2" t="s">
        <v>37</v>
      </c>
    </row>
    <row r="3" spans="2:3" x14ac:dyDescent="0.3">
      <c r="B3" t="s">
        <v>24</v>
      </c>
      <c r="C3">
        <v>2021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/>
  <dimension ref="A1:J502"/>
  <sheetViews>
    <sheetView showZeros="0" zoomScale="67" workbookViewId="0">
      <selection activeCell="C30" sqref="C30"/>
    </sheetView>
  </sheetViews>
  <sheetFormatPr defaultColWidth="11.19921875" defaultRowHeight="15.6" x14ac:dyDescent="0.3"/>
  <cols>
    <col min="1" max="1" width="33.296875" bestFit="1" customWidth="1"/>
    <col min="2" max="2" width="37.19921875" customWidth="1"/>
    <col min="3" max="4" width="20.19921875" customWidth="1"/>
    <col min="5" max="5" width="27.19921875" customWidth="1"/>
    <col min="6" max="6" width="24.5" customWidth="1"/>
    <col min="7" max="8" width="15.69921875" customWidth="1"/>
    <col min="9" max="9" width="15" customWidth="1"/>
  </cols>
  <sheetData>
    <row r="1" spans="1:10" x14ac:dyDescent="0.3">
      <c r="A1" s="18"/>
    </row>
    <row r="2" spans="1:10" x14ac:dyDescent="0.3">
      <c r="A2" s="35"/>
      <c r="B2" s="36" t="s">
        <v>23</v>
      </c>
      <c r="C2" s="36" t="s">
        <v>26</v>
      </c>
      <c r="D2" s="36" t="s">
        <v>27</v>
      </c>
      <c r="E2" s="36" t="s">
        <v>19</v>
      </c>
      <c r="F2" s="36" t="s">
        <v>20</v>
      </c>
    </row>
    <row r="3" spans="1:10" x14ac:dyDescent="0.3">
      <c r="A3" s="35"/>
      <c r="B3" s="35" t="str" cm="1">
        <f t="array" aca="1" ref="B3" ca="1">INDEX([1]Projects!$A$1:$F$305,CELL("row",B3),CELL("col",B3))</f>
        <v>General admin</v>
      </c>
      <c r="C3" s="35" t="str" cm="1">
        <f t="array" aca="1" ref="C3" ca="1">INDEX([1]Projects!$A$1:$F$305,CELL("row",C3),CELL("col",C3))</f>
        <v>admin1</v>
      </c>
      <c r="D3" s="35" t="str" cm="1">
        <f t="array" aca="1" ref="D3" ca="1">INDEX([1]Projects!$A$1:$F$305,CELL("row",D3),CELL("col",D3))</f>
        <v>1 - Non-project</v>
      </c>
      <c r="E3" s="35" cm="1">
        <f t="array" aca="1" ref="E3" ca="1">INDEX([1]Projects!$A$1:$F$305,CELL("row",E3),CELL("col",E3))</f>
        <v>0</v>
      </c>
      <c r="F3" s="35" cm="1">
        <f t="array" aca="1" ref="F3" ca="1">INDEX([1]Projects!$A$1:$F$305,CELL("row",F3),CELL("col",F3))</f>
        <v>0</v>
      </c>
    </row>
    <row r="4" spans="1:10" x14ac:dyDescent="0.3">
      <c r="B4" s="35" t="str" cm="1">
        <f t="array" aca="1" ref="B4" ca="1">INDEX([1]Projects!$A$1:$F$305,CELL("row",B4),CELL("col",B4))</f>
        <v>Proposals</v>
      </c>
      <c r="C4" s="35" t="str" cm="1">
        <f t="array" aca="1" ref="C4" ca="1">INDEX([1]Projects!$A$1:$F$305,CELL("row",C4),CELL("col",C4))</f>
        <v>admin2</v>
      </c>
      <c r="D4" s="35" t="str" cm="1">
        <f t="array" aca="1" ref="D4" ca="1">INDEX([1]Projects!$A$1:$F$305,CELL("row",D4),CELL("col",D4))</f>
        <v>1 - Non-project</v>
      </c>
      <c r="E4" s="35" cm="1">
        <f t="array" aca="1" ref="E4" ca="1">INDEX([1]Projects!$A$1:$F$305,CELL("row",E4),CELL("col",E4))</f>
        <v>0</v>
      </c>
      <c r="F4" s="35" cm="1">
        <f t="array" aca="1" ref="F4" ca="1">INDEX([1]Projects!$A$1:$F$305,CELL("row",F4),CELL("col",F4))</f>
        <v>0</v>
      </c>
      <c r="I4" s="22"/>
      <c r="J4" s="19"/>
    </row>
    <row r="5" spans="1:10" x14ac:dyDescent="0.3">
      <c r="A5" s="35"/>
      <c r="B5" s="35" t="str" cm="1">
        <f t="array" aca="1" ref="B5" ca="1">INDEX([1]Projects!$A$1:$F$305,CELL("row",B5),CELL("col",B5))</f>
        <v>Training/conferences</v>
      </c>
      <c r="C5" s="35" t="str" cm="1">
        <f t="array" aca="1" ref="C5" ca="1">INDEX([1]Projects!$A$1:$F$305,CELL("row",C5),CELL("col",C5))</f>
        <v>admin3</v>
      </c>
      <c r="D5" s="35" t="str" cm="1">
        <f t="array" aca="1" ref="D5" ca="1">INDEX([1]Projects!$A$1:$F$305,CELL("row",D5),CELL("col",D5))</f>
        <v>1 - Non-project</v>
      </c>
      <c r="E5" s="35" cm="1">
        <f t="array" aca="1" ref="E5" ca="1">INDEX([1]Projects!$A$1:$F$305,CELL("row",E5),CELL("col",E5))</f>
        <v>0</v>
      </c>
      <c r="F5" s="35" cm="1">
        <f t="array" aca="1" ref="F5" ca="1">INDEX([1]Projects!$A$1:$F$305,CELL("row",F5),CELL("col",F5))</f>
        <v>0</v>
      </c>
      <c r="I5" s="19"/>
      <c r="J5" s="19"/>
    </row>
    <row r="6" spans="1:10" x14ac:dyDescent="0.3">
      <c r="B6" s="35" t="str" cm="1">
        <f t="array" aca="1" ref="B6" ca="1">INDEX([1]Projects!$A$1:$F$305,CELL("row",B6),CELL("col",B6))</f>
        <v>lunch</v>
      </c>
      <c r="C6" s="35" cm="1">
        <f t="array" aca="1" ref="C6" ca="1">INDEX([1]Projects!$A$1:$F$305,CELL("row",C6),CELL("col",C6))</f>
        <v>0</v>
      </c>
      <c r="D6" s="35" t="str" cm="1">
        <f t="array" aca="1" ref="D6" ca="1">INDEX([1]Projects!$A$1:$F$305,CELL("row",D6),CELL("col",D6))</f>
        <v>1 - Non-project</v>
      </c>
      <c r="E6" s="35" cm="1">
        <f t="array" aca="1" ref="E6" ca="1">INDEX([1]Projects!$A$1:$F$305,CELL("row",E6),CELL("col",E6))</f>
        <v>0</v>
      </c>
      <c r="F6" s="35" cm="1">
        <f t="array" aca="1" ref="F6" ca="1">INDEX([1]Projects!$A$1:$F$305,CELL("row",F6),CELL("col",F6))</f>
        <v>0</v>
      </c>
      <c r="I6" s="19"/>
      <c r="J6" s="19"/>
    </row>
    <row r="7" spans="1:10" x14ac:dyDescent="0.3">
      <c r="B7" s="35" t="str" cm="1">
        <f t="array" aca="1" ref="B7" ca="1">INDEX([1]Projects!$A$1:$F$305,CELL("row",B7),CELL("col",B7))</f>
        <v>1/2 day holiday</v>
      </c>
      <c r="C7" s="35" t="s">
        <v>29</v>
      </c>
      <c r="D7" s="35" t="str" cm="1">
        <f t="array" aca="1" ref="D7" ca="1">INDEX([1]Projects!$A$1:$F$305,CELL("row",D7),CELL("col",D7))</f>
        <v>1 - Non-project</v>
      </c>
      <c r="E7" s="35" cm="1">
        <f t="array" aca="1" ref="E7" ca="1">INDEX([1]Projects!$A$1:$F$305,CELL("row",E7),CELL("col",E7))</f>
        <v>0</v>
      </c>
      <c r="F7" s="35" cm="1">
        <f t="array" aca="1" ref="F7" ca="1">INDEX([1]Projects!$A$1:$F$305,CELL("row",F7),CELL("col",F7))</f>
        <v>0</v>
      </c>
      <c r="I7" s="19"/>
      <c r="J7" s="19"/>
    </row>
    <row r="8" spans="1:10" x14ac:dyDescent="0.3">
      <c r="B8" s="35" t="str" cm="1">
        <f t="array" aca="1" ref="B8" ca="1">INDEX([1]Projects!$A$1:$F$305,CELL("row",B8),CELL("col",B8))</f>
        <v>full day holiday</v>
      </c>
      <c r="C8" s="35" t="str" cm="1">
        <f t="array" aca="1" ref="C8" ca="1">INDEX([1]Projects!$A$1:$F$305,CELL("row",C8),CELL("col",C8))</f>
        <v>Holiday</v>
      </c>
      <c r="D8" s="35" t="str" cm="1">
        <f t="array" aca="1" ref="D8" ca="1">INDEX([1]Projects!$A$1:$F$305,CELL("row",D8),CELL("col",D8))</f>
        <v>1 - Non-project</v>
      </c>
      <c r="E8" s="35" cm="1">
        <f t="array" aca="1" ref="E8" ca="1">INDEX([1]Projects!$A$1:$F$305,CELL("row",E8),CELL("col",E8))</f>
        <v>0</v>
      </c>
      <c r="F8" s="35" cm="1">
        <f t="array" aca="1" ref="F8" ca="1">INDEX([1]Projects!$A$1:$F$305,CELL("row",F8),CELL("col",F8))</f>
        <v>0</v>
      </c>
      <c r="G8" s="19"/>
      <c r="H8" s="19"/>
      <c r="I8" s="19"/>
      <c r="J8" s="19"/>
    </row>
    <row r="9" spans="1:10" x14ac:dyDescent="0.3">
      <c r="B9" s="35" t="str" cm="1">
        <f t="array" aca="1" ref="B9" ca="1">INDEX([1]Projects!$A$1:$F$305,CELL("row",B9),CELL("col",B9))</f>
        <v>Bank holiday</v>
      </c>
      <c r="C9" s="35" t="str" cm="1">
        <f t="array" aca="1" ref="C9" ca="1">INDEX([1]Projects!$A$1:$F$305,CELL("row",C9),CELL("col",C9))</f>
        <v>Bank holiday</v>
      </c>
      <c r="D9" s="35" t="str" cm="1">
        <f t="array" aca="1" ref="D9" ca="1">INDEX([1]Projects!$A$1:$F$305,CELL("row",D9),CELL("col",D9))</f>
        <v>1 - Non-project</v>
      </c>
      <c r="E9" s="35" cm="1">
        <f t="array" aca="1" ref="E9" ca="1">INDEX([1]Projects!$A$1:$F$305,CELL("row",E9),CELL("col",E9))</f>
        <v>0</v>
      </c>
      <c r="F9" s="35" cm="1">
        <f t="array" aca="1" ref="F9" ca="1">INDEX([1]Projects!$A$1:$F$305,CELL("row",F9),CELL("col",F9))</f>
        <v>0</v>
      </c>
      <c r="G9" s="19"/>
      <c r="H9" s="19"/>
      <c r="I9" s="19"/>
      <c r="J9" s="19"/>
    </row>
    <row r="10" spans="1:10" x14ac:dyDescent="0.3">
      <c r="A10" s="19"/>
      <c r="B10" s="35" t="str" cm="1">
        <f t="array" aca="1" ref="B10" ca="1">INDEX([1]Projects!$A$1:$F$305,CELL("row",B10),CELL("col",B10))</f>
        <v>1/2 day sick</v>
      </c>
      <c r="C10" s="35" t="str" cm="1">
        <f t="array" aca="1" ref="C10" ca="1">INDEX([1]Projects!$A$1:$F$305,CELL("row",C10),CELL("col",C10))</f>
        <v>Sick</v>
      </c>
      <c r="D10" s="35" t="str" cm="1">
        <f t="array" aca="1" ref="D10" ca="1">INDEX([1]Projects!$A$1:$F$305,CELL("row",D10),CELL("col",D10))</f>
        <v>1 - Non-project</v>
      </c>
      <c r="E10" s="35" cm="1">
        <f t="array" aca="1" ref="E10" ca="1">INDEX([1]Projects!$A$1:$F$305,CELL("row",E10),CELL("col",E10))</f>
        <v>0</v>
      </c>
      <c r="F10" s="35" cm="1">
        <f t="array" aca="1" ref="F10" ca="1">INDEX([1]Projects!$A$1:$F$305,CELL("row",F10),CELL("col",F10))</f>
        <v>0</v>
      </c>
      <c r="G10" s="19"/>
      <c r="H10" s="19"/>
      <c r="I10" s="19"/>
      <c r="J10" s="19"/>
    </row>
    <row r="11" spans="1:10" x14ac:dyDescent="0.3">
      <c r="A11" s="19"/>
      <c r="B11" s="35" t="str" cm="1">
        <f t="array" aca="1" ref="B11" ca="1">INDEX([1]Projects!$A$1:$F$305,CELL("row",B11),CELL("col",B11))</f>
        <v>full day sick</v>
      </c>
      <c r="C11" s="35" t="str" cm="1">
        <f t="array" aca="1" ref="C11" ca="1">INDEX([1]Projects!$A$1:$F$305,CELL("row",C11),CELL("col",C11))</f>
        <v>Sick</v>
      </c>
      <c r="D11" s="35" t="str" cm="1">
        <f t="array" aca="1" ref="D11" ca="1">INDEX([1]Projects!$A$1:$F$305,CELL("row",D11),CELL("col",D11))</f>
        <v>1 - Non-project</v>
      </c>
      <c r="E11" s="35" cm="1">
        <f t="array" aca="1" ref="E11" ca="1">INDEX([1]Projects!$A$1:$F$305,CELL("row",E11),CELL("col",E11))</f>
        <v>0</v>
      </c>
      <c r="F11" s="35" cm="1">
        <f t="array" aca="1" ref="F11" ca="1">INDEX([1]Projects!$A$1:$F$305,CELL("row",F11),CELL("col",F11))</f>
        <v>0</v>
      </c>
      <c r="G11" s="19"/>
      <c r="H11" s="19"/>
      <c r="I11" s="19"/>
      <c r="J11" s="19"/>
    </row>
    <row r="12" spans="1:10" x14ac:dyDescent="0.3">
      <c r="A12" s="19"/>
      <c r="B12" s="35" t="str" cm="1">
        <f t="array" aca="1" ref="B12" ca="1">INDEX([1]Projects!$A$1:$F$305,CELL("row",B12),CELL("col",B12))</f>
        <v>non-chargeable 2</v>
      </c>
      <c r="C12" s="35" t="str" cm="1">
        <f t="array" aca="1" ref="C12" ca="1">INDEX([1]Projects!$A$1:$F$305,CELL("row",C12),CELL("col",C12))</f>
        <v>NC/002</v>
      </c>
      <c r="D12" s="35" t="str" cm="1">
        <f t="array" aca="1" ref="D12" ca="1">INDEX([1]Projects!$A$1:$F$305,CELL("row",D12),CELL("col",D12))</f>
        <v>2 - Non-chargeable</v>
      </c>
      <c r="E12" s="35" cm="1">
        <f t="array" aca="1" ref="E12" ca="1">INDEX([1]Projects!$A$1:$F$305,CELL("row",E12),CELL("col",E12))</f>
        <v>0</v>
      </c>
      <c r="F12" s="35" cm="1">
        <f t="array" aca="1" ref="F12" ca="1">INDEX([1]Projects!$A$1:$F$305,CELL("row",F12),CELL("col",F12))</f>
        <v>0</v>
      </c>
      <c r="G12" s="19"/>
      <c r="H12" s="19"/>
      <c r="I12" s="19"/>
      <c r="J12" s="19"/>
    </row>
    <row r="13" spans="1:10" x14ac:dyDescent="0.3">
      <c r="A13" s="19"/>
      <c r="B13" s="35" t="str" cm="1">
        <f t="array" aca="1" ref="B13" ca="1">INDEX([1]Projects!$A$1:$F$305,CELL("row",B13),CELL("col",B13))</f>
        <v>non-chargeable 1</v>
      </c>
      <c r="C13" s="35" t="s">
        <v>38</v>
      </c>
      <c r="D13" s="35" t="str" cm="1">
        <f t="array" aca="1" ref="D13" ca="1">INDEX([1]Projects!$A$1:$F$305,CELL("row",D13),CELL("col",D13))</f>
        <v>2 - Non-chargeable</v>
      </c>
      <c r="E13" s="35" cm="1">
        <f t="array" aca="1" ref="E13" ca="1">INDEX([1]Projects!$A$1:$F$305,CELL("row",E13),CELL("col",E13))</f>
        <v>0</v>
      </c>
      <c r="F13" s="35" cm="1">
        <f t="array" aca="1" ref="F13" ca="1">INDEX([1]Projects!$A$1:$F$305,CELL("row",F13),CELL("col",F13))</f>
        <v>0</v>
      </c>
      <c r="G13" s="19"/>
      <c r="H13" s="19"/>
      <c r="I13" s="19"/>
      <c r="J13" s="19"/>
    </row>
    <row r="14" spans="1:10" x14ac:dyDescent="0.3">
      <c r="A14" s="19"/>
      <c r="B14" s="35" t="str" cm="1">
        <f t="array" aca="1" ref="B14" ca="1">INDEX([1]Projects!$A$1:$F$305,CELL("row",B14),CELL("col",B14))</f>
        <v>Project 4</v>
      </c>
      <c r="C14" s="35" t="str" cm="1">
        <f t="array" aca="1" ref="C14" ca="1">INDEX([1]Projects!$A$1:$F$305,CELL("row",C14),CELL("col",C14))</f>
        <v>2021/004</v>
      </c>
      <c r="D14" s="35" t="str" cm="1">
        <f t="array" aca="1" ref="D14" ca="1">INDEX([1]Projects!$A$1:$F$305,CELL("row",D14),CELL("col",D14))</f>
        <v>3 - Projects</v>
      </c>
      <c r="E14" s="35" cm="1">
        <f t="array" aca="1" ref="E14" ca="1">INDEX([1]Projects!$A$1:$F$305,CELL("row",E14),CELL("col",E14))</f>
        <v>0</v>
      </c>
      <c r="F14" s="35" cm="1">
        <f t="array" aca="1" ref="F14" ca="1">INDEX([1]Projects!$A$1:$F$305,CELL("row",F14),CELL("col",F14))</f>
        <v>0</v>
      </c>
      <c r="G14" s="19"/>
      <c r="H14" s="19"/>
      <c r="I14" s="19"/>
      <c r="J14" s="19"/>
    </row>
    <row r="15" spans="1:10" x14ac:dyDescent="0.3">
      <c r="A15" s="19"/>
      <c r="B15" s="35" t="str" cm="1">
        <f t="array" aca="1" ref="B15" ca="1">INDEX([1]Projects!$A$1:$F$305,CELL("row",B15),CELL("col",B15))</f>
        <v>Project 3</v>
      </c>
      <c r="C15" s="35" t="str" cm="1">
        <f t="array" aca="1" ref="C15" ca="1">INDEX([1]Projects!$A$1:$F$305,CELL("row",C15),CELL("col",C15))</f>
        <v>2021/003</v>
      </c>
      <c r="D15" s="35" t="str" cm="1">
        <f t="array" aca="1" ref="D15" ca="1">INDEX([1]Projects!$A$1:$F$305,CELL("row",D15),CELL("col",D15))</f>
        <v>3 - Projects</v>
      </c>
      <c r="E15" s="35" t="str" cm="1">
        <f t="array" aca="1" ref="E15" ca="1">INDEX([1]Projects!$A$1:$F$305,CELL("row",E15),CELL("col",E15))</f>
        <v>House Architects</v>
      </c>
      <c r="F15" s="35" t="str" cm="1">
        <f t="array" aca="1" ref="F15" ca="1">INDEX([1]Projects!$A$1:$F$305,CELL("row",F15),CELL("col",F15))</f>
        <v>Bill Williams</v>
      </c>
      <c r="G15" s="19"/>
      <c r="H15" s="19"/>
      <c r="I15" s="19"/>
      <c r="J15" s="19"/>
    </row>
    <row r="16" spans="1:10" x14ac:dyDescent="0.3">
      <c r="A16" s="19"/>
      <c r="B16" s="35" t="str" cm="1">
        <f t="array" aca="1" ref="B16" ca="1">INDEX([1]Projects!$A$1:$F$305,CELL("row",B16),CELL("col",B16))</f>
        <v>Project 2</v>
      </c>
      <c r="C16" s="35" t="str" cm="1">
        <f t="array" aca="1" ref="C16" ca="1">INDEX([1]Projects!$A$1:$F$305,CELL("row",C16),CELL("col",C16))</f>
        <v>2021/002</v>
      </c>
      <c r="D16" s="35" t="str" cm="1">
        <f t="array" aca="1" ref="D16" ca="1">INDEX([1]Projects!$A$1:$F$305,CELL("row",D16),CELL("col",D16))</f>
        <v>3 - Projects</v>
      </c>
      <c r="E16" s="35" t="str" cm="1">
        <f t="array" aca="1" ref="E16" ca="1">INDEX([1]Projects!$A$1:$F$305,CELL("row",E16),CELL("col",E16))</f>
        <v>EG</v>
      </c>
      <c r="F16" s="35" t="str" cm="1">
        <f t="array" aca="1" ref="F16" ca="1">INDEX([1]Projects!$A$1:$F$305,CELL("row",F16),CELL("col",F16))</f>
        <v>Sarah Johnson</v>
      </c>
      <c r="G16" s="19"/>
      <c r="H16" s="19"/>
      <c r="I16" s="19"/>
      <c r="J16" s="19"/>
    </row>
    <row r="17" spans="1:10" x14ac:dyDescent="0.3">
      <c r="A17" s="19"/>
      <c r="B17" s="35" t="str" cm="1">
        <f t="array" aca="1" ref="B17" ca="1">INDEX([1]Projects!$A$1:$F$305,CELL("row",B17),CELL("col",B17))</f>
        <v>Project 1</v>
      </c>
      <c r="C17" s="35" t="str" cm="1">
        <f t="array" aca="1" ref="C17" ca="1">INDEX([1]Projects!$A$1:$F$305,CELL("row",C17),CELL("col",C17))</f>
        <v>2021/001</v>
      </c>
      <c r="D17" s="35" t="str" cm="1">
        <f t="array" aca="1" ref="D17" ca="1">INDEX([1]Projects!$A$1:$F$305,CELL("row",D17),CELL("col",D17))</f>
        <v>3 - Projects</v>
      </c>
      <c r="E17" s="35" t="str" cm="1">
        <f t="array" aca="1" ref="E17" ca="1">INDEX([1]Projects!$A$1:$F$305,CELL("row",E17),CELL("col",E17))</f>
        <v>Company Ltd</v>
      </c>
      <c r="F17" s="35" t="str" cm="1">
        <f t="array" aca="1" ref="F17" ca="1">INDEX([1]Projects!$A$1:$F$305,CELL("row",F17),CELL("col",F17))</f>
        <v>Example Name</v>
      </c>
      <c r="G17" s="19"/>
      <c r="H17" s="19"/>
      <c r="I17" s="19"/>
      <c r="J17" s="19"/>
    </row>
    <row r="18" spans="1:10" x14ac:dyDescent="0.3">
      <c r="A18" s="19"/>
      <c r="B18" s="35" cm="1">
        <f t="array" aca="1" ref="B18" ca="1">INDEX([1]Projects!$A$1:$F$305,CELL("row",B18),CELL("col",B18))</f>
        <v>0</v>
      </c>
      <c r="C18" s="35" cm="1">
        <f t="array" aca="1" ref="C18" ca="1">INDEX([1]Projects!$A$1:$F$305,CELL("row",C18),CELL("col",C18))</f>
        <v>0</v>
      </c>
      <c r="D18" s="35" cm="1">
        <f t="array" aca="1" ref="D18" ca="1">INDEX([1]Projects!$A$1:$F$305,CELL("row",D18),CELL("col",D18))</f>
        <v>0</v>
      </c>
      <c r="E18" s="35" cm="1">
        <f t="array" aca="1" ref="E18" ca="1">INDEX([1]Projects!$A$1:$F$305,CELL("row",E18),CELL("col",E18))</f>
        <v>0</v>
      </c>
      <c r="F18" s="35" cm="1">
        <f t="array" aca="1" ref="F18" ca="1">INDEX([1]Projects!$A$1:$F$305,CELL("row",F18),CELL("col",F18))</f>
        <v>0</v>
      </c>
      <c r="G18" s="19"/>
      <c r="H18" s="19"/>
      <c r="I18" s="19"/>
      <c r="J18" s="19"/>
    </row>
    <row r="19" spans="1:10" x14ac:dyDescent="0.3">
      <c r="A19" s="19"/>
      <c r="B19" s="35" cm="1">
        <f t="array" aca="1" ref="B19" ca="1">INDEX([1]Projects!$A$1:$F$305,CELL("row",B19),CELL("col",B19))</f>
        <v>0</v>
      </c>
      <c r="C19" s="35" cm="1">
        <f t="array" aca="1" ref="C19" ca="1">INDEX([1]Projects!$A$1:$F$305,CELL("row",C19),CELL("col",C19))</f>
        <v>0</v>
      </c>
      <c r="D19" s="35" cm="1">
        <f t="array" aca="1" ref="D19" ca="1">INDEX([1]Projects!$A$1:$F$305,CELL("row",D19),CELL("col",D19))</f>
        <v>0</v>
      </c>
      <c r="E19" s="35" cm="1">
        <f t="array" aca="1" ref="E19" ca="1">INDEX([1]Projects!$A$1:$F$305,CELL("row",E19),CELL("col",E19))</f>
        <v>0</v>
      </c>
      <c r="F19" s="35" cm="1">
        <f t="array" aca="1" ref="F19" ca="1">INDEX([1]Projects!$A$1:$F$305,CELL("row",F19),CELL("col",F19))</f>
        <v>0</v>
      </c>
      <c r="G19" s="19"/>
      <c r="H19" s="19"/>
      <c r="I19" s="19"/>
      <c r="J19" s="19"/>
    </row>
    <row r="20" spans="1:10" x14ac:dyDescent="0.3">
      <c r="A20" s="19"/>
      <c r="B20" s="35" cm="1">
        <f t="array" aca="1" ref="B20" ca="1">INDEX([1]Projects!$A$1:$F$305,CELL("row",B20),CELL("col",B20))</f>
        <v>0</v>
      </c>
      <c r="C20" s="35" cm="1">
        <f t="array" aca="1" ref="C20" ca="1">INDEX([1]Projects!$A$1:$F$305,CELL("row",C20),CELL("col",C20))</f>
        <v>0</v>
      </c>
      <c r="D20" s="35" cm="1">
        <f t="array" aca="1" ref="D20" ca="1">INDEX([1]Projects!$A$1:$F$305,CELL("row",D20),CELL("col",D20))</f>
        <v>0</v>
      </c>
      <c r="E20" s="35" cm="1">
        <f t="array" aca="1" ref="E20" ca="1">INDEX([1]Projects!$A$1:$F$305,CELL("row",E20),CELL("col",E20))</f>
        <v>0</v>
      </c>
      <c r="F20" s="35" cm="1">
        <f t="array" aca="1" ref="F20" ca="1">INDEX([1]Projects!$A$1:$F$305,CELL("row",F20),CELL("col",F20))</f>
        <v>0</v>
      </c>
      <c r="G20" s="19"/>
      <c r="H20" s="19"/>
      <c r="I20" s="19"/>
      <c r="J20" s="19"/>
    </row>
    <row r="21" spans="1:10" x14ac:dyDescent="0.3">
      <c r="A21" s="19"/>
      <c r="B21" s="35" cm="1">
        <f t="array" aca="1" ref="B21" ca="1">INDEX([1]Projects!$A$1:$F$305,CELL("row",B21),CELL("col",B21))</f>
        <v>0</v>
      </c>
      <c r="C21" s="35" cm="1">
        <f t="array" aca="1" ref="C21" ca="1">INDEX([1]Projects!$A$1:$F$305,CELL("row",C21),CELL("col",C21))</f>
        <v>0</v>
      </c>
      <c r="D21" s="35" cm="1">
        <f t="array" aca="1" ref="D21" ca="1">INDEX([1]Projects!$A$1:$F$305,CELL("row",D21),CELL("col",D21))</f>
        <v>0</v>
      </c>
      <c r="E21" s="35" cm="1">
        <f t="array" aca="1" ref="E21" ca="1">INDEX([1]Projects!$A$1:$F$305,CELL("row",E21),CELL("col",E21))</f>
        <v>0</v>
      </c>
      <c r="F21" s="35" cm="1">
        <f t="array" aca="1" ref="F21" ca="1">INDEX([1]Projects!$A$1:$F$305,CELL("row",F21),CELL("col",F21))</f>
        <v>0</v>
      </c>
      <c r="G21" s="19"/>
      <c r="H21" s="19"/>
      <c r="I21" s="19"/>
      <c r="J21" s="19"/>
    </row>
    <row r="22" spans="1:10" x14ac:dyDescent="0.3">
      <c r="A22" s="19"/>
      <c r="B22" s="35" cm="1">
        <f t="array" aca="1" ref="B22" ca="1">INDEX([1]Projects!$A$1:$F$305,CELL("row",B22),CELL("col",B22))</f>
        <v>0</v>
      </c>
      <c r="C22" s="35" cm="1">
        <f t="array" aca="1" ref="C22" ca="1">INDEX([1]Projects!$A$1:$F$305,CELL("row",C22),CELL("col",C22))</f>
        <v>0</v>
      </c>
      <c r="D22" s="35" cm="1">
        <f t="array" aca="1" ref="D22" ca="1">INDEX([1]Projects!$A$1:$F$305,CELL("row",D22),CELL("col",D22))</f>
        <v>0</v>
      </c>
      <c r="E22" s="35" cm="1">
        <f t="array" aca="1" ref="E22" ca="1">INDEX([1]Projects!$A$1:$F$305,CELL("row",E22),CELL("col",E22))</f>
        <v>0</v>
      </c>
      <c r="F22" s="35" cm="1">
        <f t="array" aca="1" ref="F22" ca="1">INDEX([1]Projects!$A$1:$F$305,CELL("row",F22),CELL("col",F22))</f>
        <v>0</v>
      </c>
      <c r="G22" s="20"/>
      <c r="H22" s="21"/>
      <c r="I22" s="22"/>
      <c r="J22" s="19"/>
    </row>
    <row r="23" spans="1:10" x14ac:dyDescent="0.3">
      <c r="A23" s="19"/>
      <c r="B23" s="35" cm="1">
        <f t="array" aca="1" ref="B23" ca="1">INDEX([1]Projects!$A$1:$F$305,CELL("row",B23),CELL("col",B23))</f>
        <v>0</v>
      </c>
      <c r="C23" s="35" cm="1">
        <f t="array" aca="1" ref="C23" ca="1">INDEX([1]Projects!$A$1:$F$305,CELL("row",C23),CELL("col",C23))</f>
        <v>0</v>
      </c>
      <c r="D23" s="35" cm="1">
        <f t="array" aca="1" ref="D23" ca="1">INDEX([1]Projects!$A$1:$F$305,CELL("row",D23),CELL("col",D23))</f>
        <v>0</v>
      </c>
      <c r="E23" s="35" cm="1">
        <f t="array" aca="1" ref="E23" ca="1">INDEX([1]Projects!$A$1:$F$305,CELL("row",E23),CELL("col",E23))</f>
        <v>0</v>
      </c>
      <c r="F23" s="35" cm="1">
        <f t="array" aca="1" ref="F23" ca="1">INDEX([1]Projects!$A$1:$F$305,CELL("row",F23),CELL("col",F23))</f>
        <v>0</v>
      </c>
      <c r="G23" s="20"/>
      <c r="H23" s="21"/>
      <c r="I23" s="22"/>
      <c r="J23" s="19"/>
    </row>
    <row r="24" spans="1:10" x14ac:dyDescent="0.3">
      <c r="A24" s="19"/>
      <c r="B24" s="35" cm="1">
        <f t="array" aca="1" ref="B24" ca="1">INDEX([1]Projects!$A$1:$F$305,CELL("row",B24),CELL("col",B24))</f>
        <v>0</v>
      </c>
      <c r="C24" s="35" cm="1">
        <f t="array" aca="1" ref="C24" ca="1">INDEX([1]Projects!$A$1:$F$305,CELL("row",C24),CELL("col",C24))</f>
        <v>0</v>
      </c>
      <c r="D24" s="35" cm="1">
        <f t="array" aca="1" ref="D24" ca="1">INDEX([1]Projects!$A$1:$F$305,CELL("row",D24),CELL("col",D24))</f>
        <v>0</v>
      </c>
      <c r="E24" s="35" cm="1">
        <f t="array" aca="1" ref="E24" ca="1">INDEX([1]Projects!$A$1:$F$305,CELL("row",E24),CELL("col",E24))</f>
        <v>0</v>
      </c>
      <c r="F24" s="35" cm="1">
        <f t="array" aca="1" ref="F24" ca="1">INDEX([1]Projects!$A$1:$F$305,CELL("row",F24),CELL("col",F24))</f>
        <v>0</v>
      </c>
      <c r="G24" s="20"/>
      <c r="H24" s="21"/>
      <c r="I24" s="22"/>
      <c r="J24" s="19"/>
    </row>
    <row r="25" spans="1:10" x14ac:dyDescent="0.3">
      <c r="A25" s="19"/>
      <c r="B25" s="35" cm="1">
        <f t="array" aca="1" ref="B25" ca="1">INDEX([1]Projects!$A$1:$F$305,CELL("row",B25),CELL("col",B25))</f>
        <v>0</v>
      </c>
      <c r="C25" s="35" cm="1">
        <f t="array" aca="1" ref="C25" ca="1">INDEX([1]Projects!$A$1:$F$305,CELL("row",C25),CELL("col",C25))</f>
        <v>0</v>
      </c>
      <c r="D25" s="35" cm="1">
        <f t="array" aca="1" ref="D25" ca="1">INDEX([1]Projects!$A$1:$F$305,CELL("row",D25),CELL("col",D25))</f>
        <v>0</v>
      </c>
      <c r="E25" s="35" cm="1">
        <f t="array" aca="1" ref="E25" ca="1">INDEX([1]Projects!$A$1:$F$305,CELL("row",E25),CELL("col",E25))</f>
        <v>0</v>
      </c>
      <c r="F25" s="35" cm="1">
        <f t="array" aca="1" ref="F25" ca="1">INDEX([1]Projects!$A$1:$F$305,CELL("row",F25),CELL("col",F25))</f>
        <v>0</v>
      </c>
      <c r="G25" s="20"/>
      <c r="H25" s="21"/>
      <c r="I25" s="22"/>
      <c r="J25" s="19"/>
    </row>
    <row r="26" spans="1:10" ht="19.8" x14ac:dyDescent="0.4">
      <c r="A26" s="19"/>
      <c r="B26" s="35" cm="1">
        <f t="array" aca="1" ref="B26" ca="1">INDEX([1]Projects!$A$1:$F$305,CELL("row",B26),CELL("col",B26))</f>
        <v>0</v>
      </c>
      <c r="C26" s="35" cm="1">
        <f t="array" aca="1" ref="C26" ca="1">INDEX([1]Projects!$A$1:$F$305,CELL("row",C26),CELL("col",C26))</f>
        <v>0</v>
      </c>
      <c r="D26" s="35" cm="1">
        <f t="array" aca="1" ref="D26" ca="1">INDEX([1]Projects!$A$1:$F$305,CELL("row",D26),CELL("col",D26))</f>
        <v>0</v>
      </c>
      <c r="E26" s="35" cm="1">
        <f t="array" aca="1" ref="E26" ca="1">INDEX([1]Projects!$A$1:$F$305,CELL("row",E26),CELL("col",E26))</f>
        <v>0</v>
      </c>
      <c r="F26" s="35" cm="1">
        <f t="array" aca="1" ref="F26" ca="1">INDEX([1]Projects!$A$1:$F$305,CELL("row",F26),CELL("col",F26))</f>
        <v>0</v>
      </c>
      <c r="G26" s="24"/>
      <c r="H26" s="21"/>
      <c r="I26" s="22"/>
      <c r="J26" s="19"/>
    </row>
    <row r="27" spans="1:10" x14ac:dyDescent="0.3">
      <c r="A27" s="19"/>
      <c r="B27" s="35" cm="1">
        <f t="array" aca="1" ref="B27" ca="1">INDEX([1]Projects!$A$1:$F$305,CELL("row",B27),CELL("col",B27))</f>
        <v>0</v>
      </c>
      <c r="C27" s="35" cm="1">
        <f t="array" aca="1" ref="C27" ca="1">INDEX([1]Projects!$A$1:$F$305,CELL("row",C27),CELL("col",C27))</f>
        <v>0</v>
      </c>
      <c r="D27" s="35" cm="1">
        <f t="array" aca="1" ref="D27" ca="1">INDEX([1]Projects!$A$1:$F$305,CELL("row",D27),CELL("col",D27))</f>
        <v>0</v>
      </c>
      <c r="E27" s="35" cm="1">
        <f t="array" aca="1" ref="E27" ca="1">INDEX([1]Projects!$A$1:$F$305,CELL("row",E27),CELL("col",E27))</f>
        <v>0</v>
      </c>
      <c r="F27" s="35" cm="1">
        <f t="array" aca="1" ref="F27" ca="1">INDEX([1]Projects!$A$1:$F$305,CELL("row",F27),CELL("col",F27))</f>
        <v>0</v>
      </c>
      <c r="G27" s="20"/>
      <c r="H27" s="21"/>
      <c r="I27" s="22"/>
      <c r="J27" s="19"/>
    </row>
    <row r="28" spans="1:10" x14ac:dyDescent="0.3">
      <c r="A28" s="19"/>
      <c r="B28" s="35" cm="1">
        <f t="array" aca="1" ref="B28" ca="1">INDEX([1]Projects!$A$1:$F$305,CELL("row",B28),CELL("col",B28))</f>
        <v>0</v>
      </c>
      <c r="C28" s="35" cm="1">
        <f t="array" aca="1" ref="C28" ca="1">INDEX([1]Projects!$A$1:$F$305,CELL("row",C28),CELL("col",C28))</f>
        <v>0</v>
      </c>
      <c r="D28" s="35" cm="1">
        <f t="array" aca="1" ref="D28" ca="1">INDEX([1]Projects!$A$1:$F$305,CELL("row",D28),CELL("col",D28))</f>
        <v>0</v>
      </c>
      <c r="E28" s="35" cm="1">
        <f t="array" aca="1" ref="E28" ca="1">INDEX([1]Projects!$A$1:$F$305,CELL("row",E28),CELL("col",E28))</f>
        <v>0</v>
      </c>
      <c r="F28" s="35" cm="1">
        <f t="array" aca="1" ref="F28" ca="1">INDEX([1]Projects!$A$1:$F$305,CELL("row",F28),CELL("col",F28))</f>
        <v>0</v>
      </c>
      <c r="G28" s="20"/>
      <c r="H28" s="21"/>
      <c r="I28" s="22"/>
      <c r="J28" s="19"/>
    </row>
    <row r="29" spans="1:10" x14ac:dyDescent="0.3">
      <c r="A29" s="19"/>
      <c r="B29" s="35" cm="1">
        <f t="array" aca="1" ref="B29" ca="1">INDEX([1]Projects!$A$1:$F$305,CELL("row",B29),CELL("col",B29))</f>
        <v>0</v>
      </c>
      <c r="C29" s="35" cm="1">
        <f t="array" aca="1" ref="C29" ca="1">INDEX([1]Projects!$A$1:$F$305,CELL("row",C29),CELL("col",C29))</f>
        <v>0</v>
      </c>
      <c r="D29" s="35" cm="1">
        <f t="array" aca="1" ref="D29" ca="1">INDEX([1]Projects!$A$1:$F$305,CELL("row",D29),CELL("col",D29))</f>
        <v>0</v>
      </c>
      <c r="E29" s="35" cm="1">
        <f t="array" aca="1" ref="E29" ca="1">INDEX([1]Projects!$A$1:$F$305,CELL("row",E29),CELL("col",E29))</f>
        <v>0</v>
      </c>
      <c r="F29" s="35" cm="1">
        <f t="array" aca="1" ref="F29" ca="1">INDEX([1]Projects!$A$1:$F$305,CELL("row",F29),CELL("col",F29))</f>
        <v>0</v>
      </c>
      <c r="G29" s="20"/>
      <c r="H29" s="21"/>
      <c r="I29" s="22"/>
      <c r="J29" s="19"/>
    </row>
    <row r="30" spans="1:10" x14ac:dyDescent="0.3">
      <c r="A30" s="19"/>
      <c r="B30" s="35" cm="1">
        <f t="array" aca="1" ref="B30" ca="1">INDEX([1]Projects!$A$1:$F$305,CELL("row",B30),CELL("col",B30))</f>
        <v>0</v>
      </c>
      <c r="C30" s="35" cm="1">
        <f t="array" aca="1" ref="C30" ca="1">INDEX([1]Projects!$A$1:$F$305,CELL("row",C30),CELL("col",C30))</f>
        <v>0</v>
      </c>
      <c r="D30" s="35" cm="1">
        <f t="array" aca="1" ref="D30" ca="1">INDEX([1]Projects!$A$1:$F$305,CELL("row",D30),CELL("col",D30))</f>
        <v>0</v>
      </c>
      <c r="E30" s="35" cm="1">
        <f t="array" aca="1" ref="E30" ca="1">INDEX([1]Projects!$A$1:$F$305,CELL("row",E30),CELL("col",E30))</f>
        <v>0</v>
      </c>
      <c r="F30" s="35" cm="1">
        <f t="array" aca="1" ref="F30" ca="1">INDEX([1]Projects!$A$1:$F$305,CELL("row",F30),CELL("col",F30))</f>
        <v>0</v>
      </c>
      <c r="G30" s="20"/>
      <c r="H30" s="21"/>
      <c r="I30" s="22"/>
      <c r="J30" s="19"/>
    </row>
    <row r="31" spans="1:10" x14ac:dyDescent="0.3">
      <c r="A31" s="19"/>
      <c r="B31" s="35" cm="1">
        <f t="array" aca="1" ref="B31" ca="1">INDEX([1]Projects!$A$1:$F$305,CELL("row",B31),CELL("col",B31))</f>
        <v>0</v>
      </c>
      <c r="C31" s="35" cm="1">
        <f t="array" aca="1" ref="C31" ca="1">INDEX([1]Projects!$A$1:$F$305,CELL("row",C31),CELL("col",C31))</f>
        <v>0</v>
      </c>
      <c r="D31" s="35" cm="1">
        <f t="array" aca="1" ref="D31" ca="1">INDEX([1]Projects!$A$1:$F$305,CELL("row",D31),CELL("col",D31))</f>
        <v>0</v>
      </c>
      <c r="E31" s="35" cm="1">
        <f t="array" aca="1" ref="E31" ca="1">INDEX([1]Projects!$A$1:$F$305,CELL("row",E31),CELL("col",E31))</f>
        <v>0</v>
      </c>
      <c r="F31" s="35" cm="1">
        <f t="array" aca="1" ref="F31" ca="1">INDEX([1]Projects!$A$1:$F$305,CELL("row",F31),CELL("col",F31))</f>
        <v>0</v>
      </c>
      <c r="G31" s="20"/>
      <c r="H31" s="21"/>
      <c r="I31" s="22"/>
      <c r="J31" s="19"/>
    </row>
    <row r="32" spans="1:10" x14ac:dyDescent="0.3">
      <c r="A32" s="19"/>
      <c r="B32" s="35" cm="1">
        <f t="array" aca="1" ref="B32" ca="1">INDEX([1]Projects!$A$1:$F$305,CELL("row",B32),CELL("col",B32))</f>
        <v>0</v>
      </c>
      <c r="C32" s="35" cm="1">
        <f t="array" aca="1" ref="C32" ca="1">INDEX([1]Projects!$A$1:$F$305,CELL("row",C32),CELL("col",C32))</f>
        <v>0</v>
      </c>
      <c r="D32" s="35" cm="1">
        <f t="array" aca="1" ref="D32" ca="1">INDEX([1]Projects!$A$1:$F$305,CELL("row",D32),CELL("col",D32))</f>
        <v>0</v>
      </c>
      <c r="E32" s="35" cm="1">
        <f t="array" aca="1" ref="E32" ca="1">INDEX([1]Projects!$A$1:$F$305,CELL("row",E32),CELL("col",E32))</f>
        <v>0</v>
      </c>
      <c r="F32" s="35" cm="1">
        <f t="array" aca="1" ref="F32" ca="1">INDEX([1]Projects!$A$1:$F$305,CELL("row",F32),CELL("col",F32))</f>
        <v>0</v>
      </c>
      <c r="G32" s="19"/>
      <c r="H32" s="19"/>
      <c r="I32" s="19"/>
      <c r="J32" s="19"/>
    </row>
    <row r="33" spans="1:10" x14ac:dyDescent="0.3">
      <c r="A33" s="19"/>
      <c r="B33" s="35" cm="1">
        <f t="array" aca="1" ref="B33" ca="1">INDEX([1]Projects!$A$1:$F$305,CELL("row",B33),CELL("col",B33))</f>
        <v>0</v>
      </c>
      <c r="C33" s="35" cm="1">
        <f t="array" aca="1" ref="C33" ca="1">INDEX([1]Projects!$A$1:$F$305,CELL("row",C33),CELL("col",C33))</f>
        <v>0</v>
      </c>
      <c r="D33" s="35" cm="1">
        <f t="array" aca="1" ref="D33" ca="1">INDEX([1]Projects!$A$1:$F$305,CELL("row",D33),CELL("col",D33))</f>
        <v>0</v>
      </c>
      <c r="E33" s="35" cm="1">
        <f t="array" aca="1" ref="E33" ca="1">INDEX([1]Projects!$A$1:$F$305,CELL("row",E33),CELL("col",E33))</f>
        <v>0</v>
      </c>
      <c r="F33" s="35" cm="1">
        <f t="array" aca="1" ref="F33" ca="1">INDEX([1]Projects!$A$1:$F$305,CELL("row",F33),CELL("col",F33))</f>
        <v>0</v>
      </c>
      <c r="G33" s="19"/>
      <c r="H33" s="19"/>
      <c r="I33" s="19"/>
      <c r="J33" s="19"/>
    </row>
    <row r="34" spans="1:10" x14ac:dyDescent="0.3">
      <c r="A34" s="19"/>
      <c r="B34" s="35" cm="1">
        <f t="array" aca="1" ref="B34" ca="1">INDEX([1]Projects!$A$1:$F$305,CELL("row",B34),CELL("col",B34))</f>
        <v>0</v>
      </c>
      <c r="C34" s="35" cm="1">
        <f t="array" aca="1" ref="C34" ca="1">INDEX([1]Projects!$A$1:$F$305,CELL("row",C34),CELL("col",C34))</f>
        <v>0</v>
      </c>
      <c r="D34" s="35" cm="1">
        <f t="array" aca="1" ref="D34" ca="1">INDEX([1]Projects!$A$1:$F$305,CELL("row",D34),CELL("col",D34))</f>
        <v>0</v>
      </c>
      <c r="E34" s="35" cm="1">
        <f t="array" aca="1" ref="E34" ca="1">INDEX([1]Projects!$A$1:$F$305,CELL("row",E34),CELL("col",E34))</f>
        <v>0</v>
      </c>
      <c r="F34" s="35" cm="1">
        <f t="array" aca="1" ref="F34" ca="1">INDEX([1]Projects!$A$1:$F$305,CELL("row",F34),CELL("col",F34))</f>
        <v>0</v>
      </c>
      <c r="G34" s="19"/>
      <c r="H34" s="19"/>
      <c r="I34" s="19"/>
      <c r="J34" s="19"/>
    </row>
    <row r="35" spans="1:10" x14ac:dyDescent="0.3">
      <c r="A35" s="19"/>
      <c r="B35" s="35" cm="1">
        <f t="array" aca="1" ref="B35" ca="1">INDEX([1]Projects!$A$1:$F$305,CELL("row",B35),CELL("col",B35))</f>
        <v>0</v>
      </c>
      <c r="C35" s="35" cm="1">
        <f t="array" aca="1" ref="C35" ca="1">INDEX([1]Projects!$A$1:$F$305,CELL("row",C35),CELL("col",C35))</f>
        <v>0</v>
      </c>
      <c r="D35" s="35" cm="1">
        <f t="array" aca="1" ref="D35" ca="1">INDEX([1]Projects!$A$1:$F$305,CELL("row",D35),CELL("col",D35))</f>
        <v>0</v>
      </c>
      <c r="E35" s="35" cm="1">
        <f t="array" aca="1" ref="E35" ca="1">INDEX([1]Projects!$A$1:$F$305,CELL("row",E35),CELL("col",E35))</f>
        <v>0</v>
      </c>
      <c r="F35" s="35" cm="1">
        <f t="array" aca="1" ref="F35" ca="1">INDEX([1]Projects!$A$1:$F$305,CELL("row",F35),CELL("col",F35))</f>
        <v>0</v>
      </c>
      <c r="G35" s="19"/>
      <c r="H35" s="19"/>
      <c r="I35" s="19"/>
      <c r="J35" s="19"/>
    </row>
    <row r="36" spans="1:10" x14ac:dyDescent="0.3">
      <c r="A36" s="19"/>
      <c r="B36" s="35" cm="1">
        <f t="array" aca="1" ref="B36" ca="1">INDEX([1]Projects!$A$1:$F$305,CELL("row",B36),CELL("col",B36))</f>
        <v>0</v>
      </c>
      <c r="C36" s="35" cm="1">
        <f t="array" aca="1" ref="C36" ca="1">INDEX([1]Projects!$A$1:$F$305,CELL("row",C36),CELL("col",C36))</f>
        <v>0</v>
      </c>
      <c r="D36" s="35" cm="1">
        <f t="array" aca="1" ref="D36" ca="1">INDEX([1]Projects!$A$1:$F$305,CELL("row",D36),CELL("col",D36))</f>
        <v>0</v>
      </c>
      <c r="E36" s="35" cm="1">
        <f t="array" aca="1" ref="E36" ca="1">INDEX([1]Projects!$A$1:$F$305,CELL("row",E36),CELL("col",E36))</f>
        <v>0</v>
      </c>
      <c r="F36" s="35" cm="1">
        <f t="array" aca="1" ref="F36" ca="1">INDEX([1]Projects!$A$1:$F$305,CELL("row",F36),CELL("col",F36))</f>
        <v>0</v>
      </c>
      <c r="G36" s="19"/>
      <c r="H36" s="19"/>
      <c r="I36" s="19"/>
      <c r="J36" s="19"/>
    </row>
    <row r="37" spans="1:10" x14ac:dyDescent="0.3">
      <c r="A37" s="19"/>
      <c r="B37" s="35" cm="1">
        <f t="array" aca="1" ref="B37" ca="1">INDEX([1]Projects!$A$1:$F$305,CELL("row",B37),CELL("col",B37))</f>
        <v>0</v>
      </c>
      <c r="C37" s="35" cm="1">
        <f t="array" aca="1" ref="C37" ca="1">INDEX([1]Projects!$A$1:$F$305,CELL("row",C37),CELL("col",C37))</f>
        <v>0</v>
      </c>
      <c r="D37" s="35" cm="1">
        <f t="array" aca="1" ref="D37" ca="1">INDEX([1]Projects!$A$1:$F$305,CELL("row",D37),CELL("col",D37))</f>
        <v>0</v>
      </c>
      <c r="E37" s="35" cm="1">
        <f t="array" aca="1" ref="E37" ca="1">INDEX([1]Projects!$A$1:$F$305,CELL("row",E37),CELL("col",E37))</f>
        <v>0</v>
      </c>
      <c r="F37" s="35" cm="1">
        <f t="array" aca="1" ref="F37" ca="1">INDEX([1]Projects!$A$1:$F$305,CELL("row",F37),CELL("col",F37))</f>
        <v>0</v>
      </c>
      <c r="G37" s="19"/>
      <c r="H37" s="19"/>
      <c r="I37" s="19"/>
      <c r="J37" s="19"/>
    </row>
    <row r="38" spans="1:10" x14ac:dyDescent="0.3">
      <c r="A38" s="19"/>
      <c r="B38" s="35" cm="1">
        <f t="array" aca="1" ref="B38" ca="1">INDEX([1]Projects!$A$1:$F$305,CELL("row",B38),CELL("col",B38))</f>
        <v>0</v>
      </c>
      <c r="C38" s="35" cm="1">
        <f t="array" aca="1" ref="C38" ca="1">INDEX([1]Projects!$A$1:$F$305,CELL("row",C38),CELL("col",C38))</f>
        <v>0</v>
      </c>
      <c r="D38" s="35" cm="1">
        <f t="array" aca="1" ref="D38" ca="1">INDEX([1]Projects!$A$1:$F$305,CELL("row",D38),CELL("col",D38))</f>
        <v>0</v>
      </c>
      <c r="E38" s="35" cm="1">
        <f t="array" aca="1" ref="E38" ca="1">INDEX([1]Projects!$A$1:$F$305,CELL("row",E38),CELL("col",E38))</f>
        <v>0</v>
      </c>
      <c r="F38" s="35" cm="1">
        <f t="array" aca="1" ref="F38" ca="1">INDEX([1]Projects!$A$1:$F$305,CELL("row",F38),CELL("col",F38))</f>
        <v>0</v>
      </c>
      <c r="G38" s="19"/>
      <c r="H38" s="19"/>
      <c r="I38" s="19"/>
      <c r="J38" s="19"/>
    </row>
    <row r="39" spans="1:10" x14ac:dyDescent="0.3">
      <c r="A39" s="19"/>
      <c r="B39" s="35" cm="1">
        <f t="array" aca="1" ref="B39" ca="1">INDEX([1]Projects!$A$1:$F$305,CELL("row",B39),CELL("col",B39))</f>
        <v>0</v>
      </c>
      <c r="C39" s="35" cm="1">
        <f t="array" aca="1" ref="C39" ca="1">INDEX([1]Projects!$A$1:$F$305,CELL("row",C39),CELL("col",C39))</f>
        <v>0</v>
      </c>
      <c r="D39" s="35" cm="1">
        <f t="array" aca="1" ref="D39" ca="1">INDEX([1]Projects!$A$1:$F$305,CELL("row",D39),CELL("col",D39))</f>
        <v>0</v>
      </c>
      <c r="E39" s="35" cm="1">
        <f t="array" aca="1" ref="E39" ca="1">INDEX([1]Projects!$A$1:$F$305,CELL("row",E39),CELL("col",E39))</f>
        <v>0</v>
      </c>
      <c r="F39" s="35" cm="1">
        <f t="array" aca="1" ref="F39" ca="1">INDEX([1]Projects!$A$1:$F$305,CELL("row",F39),CELL("col",F39))</f>
        <v>0</v>
      </c>
      <c r="G39" s="19"/>
      <c r="H39" s="19"/>
      <c r="I39" s="19"/>
      <c r="J39" s="19"/>
    </row>
    <row r="40" spans="1:10" x14ac:dyDescent="0.3">
      <c r="A40" s="19"/>
      <c r="B40" s="35" cm="1">
        <f t="array" aca="1" ref="B40" ca="1">INDEX([1]Projects!$A$1:$F$305,CELL("row",B40),CELL("col",B40))</f>
        <v>0</v>
      </c>
      <c r="C40" s="35" cm="1">
        <f t="array" aca="1" ref="C40" ca="1">INDEX([1]Projects!$A$1:$F$305,CELL("row",C40),CELL("col",C40))</f>
        <v>0</v>
      </c>
      <c r="D40" s="35" cm="1">
        <f t="array" aca="1" ref="D40" ca="1">INDEX([1]Projects!$A$1:$F$305,CELL("row",D40),CELL("col",D40))</f>
        <v>0</v>
      </c>
      <c r="E40" s="35" cm="1">
        <f t="array" aca="1" ref="E40" ca="1">INDEX([1]Projects!$A$1:$F$305,CELL("row",E40),CELL("col",E40))</f>
        <v>0</v>
      </c>
      <c r="F40" s="35" cm="1">
        <f t="array" aca="1" ref="F40" ca="1">INDEX([1]Projects!$A$1:$F$305,CELL("row",F40),CELL("col",F40))</f>
        <v>0</v>
      </c>
      <c r="G40" s="19"/>
      <c r="H40" s="19"/>
      <c r="I40" s="19"/>
      <c r="J40" s="19"/>
    </row>
    <row r="41" spans="1:10" x14ac:dyDescent="0.3">
      <c r="A41" s="19"/>
      <c r="B41" s="35" cm="1">
        <f t="array" aca="1" ref="B41" ca="1">INDEX([1]Projects!$A$1:$F$305,CELL("row",B41),CELL("col",B41))</f>
        <v>0</v>
      </c>
      <c r="C41" s="35" cm="1">
        <f t="array" aca="1" ref="C41" ca="1">INDEX([1]Projects!$A$1:$F$305,CELL("row",C41),CELL("col",C41))</f>
        <v>0</v>
      </c>
      <c r="D41" s="35" cm="1">
        <f t="array" aca="1" ref="D41" ca="1">INDEX([1]Projects!$A$1:$F$305,CELL("row",D41),CELL("col",D41))</f>
        <v>0</v>
      </c>
      <c r="E41" s="35" cm="1">
        <f t="array" aca="1" ref="E41" ca="1">INDEX([1]Projects!$A$1:$F$305,CELL("row",E41),CELL("col",E41))</f>
        <v>0</v>
      </c>
      <c r="F41" s="35" cm="1">
        <f t="array" aca="1" ref="F41" ca="1">INDEX([1]Projects!$A$1:$F$305,CELL("row",F41),CELL("col",F41))</f>
        <v>0</v>
      </c>
      <c r="G41" s="19"/>
      <c r="H41" s="19"/>
      <c r="I41" s="19"/>
      <c r="J41" s="19"/>
    </row>
    <row r="42" spans="1:10" x14ac:dyDescent="0.3">
      <c r="A42" s="19"/>
      <c r="B42" s="35" cm="1">
        <f t="array" aca="1" ref="B42" ca="1">INDEX([1]Projects!$A$1:$F$305,CELL("row",B42),CELL("col",B42))</f>
        <v>0</v>
      </c>
      <c r="C42" s="35" cm="1">
        <f t="array" aca="1" ref="C42" ca="1">INDEX([1]Projects!$A$1:$F$305,CELL("row",C42),CELL("col",C42))</f>
        <v>0</v>
      </c>
      <c r="D42" s="35" cm="1">
        <f t="array" aca="1" ref="D42" ca="1">INDEX([1]Projects!$A$1:$F$305,CELL("row",D42),CELL("col",D42))</f>
        <v>0</v>
      </c>
      <c r="E42" s="35" cm="1">
        <f t="array" aca="1" ref="E42" ca="1">INDEX([1]Projects!$A$1:$F$305,CELL("row",E42),CELL("col",E42))</f>
        <v>0</v>
      </c>
      <c r="F42" s="35" cm="1">
        <f t="array" aca="1" ref="F42" ca="1">INDEX([1]Projects!$A$1:$F$305,CELL("row",F42),CELL("col",F42))</f>
        <v>0</v>
      </c>
      <c r="G42" s="19"/>
      <c r="H42" s="19"/>
      <c r="I42" s="19"/>
      <c r="J42" s="19"/>
    </row>
    <row r="43" spans="1:10" x14ac:dyDescent="0.3">
      <c r="A43" s="19"/>
      <c r="B43" s="35" cm="1">
        <f t="array" aca="1" ref="B43" ca="1">INDEX([1]Projects!$A$1:$F$305,CELL("row",B43),CELL("col",B43))</f>
        <v>0</v>
      </c>
      <c r="C43" s="35" cm="1">
        <f t="array" aca="1" ref="C43" ca="1">INDEX([1]Projects!$A$1:$F$305,CELL("row",C43),CELL("col",C43))</f>
        <v>0</v>
      </c>
      <c r="D43" s="35" cm="1">
        <f t="array" aca="1" ref="D43" ca="1">INDEX([1]Projects!$A$1:$F$305,CELL("row",D43),CELL("col",D43))</f>
        <v>0</v>
      </c>
      <c r="E43" s="35" cm="1">
        <f t="array" aca="1" ref="E43" ca="1">INDEX([1]Projects!$A$1:$F$305,CELL("row",E43),CELL("col",E43))</f>
        <v>0</v>
      </c>
      <c r="F43" s="35" cm="1">
        <f t="array" aca="1" ref="F43" ca="1">INDEX([1]Projects!$A$1:$F$305,CELL("row",F43),CELL("col",F43))</f>
        <v>0</v>
      </c>
      <c r="G43" s="23"/>
      <c r="H43" s="23"/>
      <c r="I43" s="19"/>
      <c r="J43" s="19"/>
    </row>
    <row r="44" spans="1:10" x14ac:dyDescent="0.3">
      <c r="A44" s="19"/>
      <c r="B44" s="35" cm="1">
        <f t="array" aca="1" ref="B44" ca="1">INDEX([1]Projects!$A$1:$F$305,CELL("row",B44),CELL("col",B44))</f>
        <v>0</v>
      </c>
      <c r="C44" s="35" cm="1">
        <f t="array" aca="1" ref="C44" ca="1">INDEX([1]Projects!$A$1:$F$305,CELL("row",C44),CELL("col",C44))</f>
        <v>0</v>
      </c>
      <c r="D44" s="35" cm="1">
        <f t="array" aca="1" ref="D44" ca="1">INDEX([1]Projects!$A$1:$F$305,CELL("row",D44),CELL("col",D44))</f>
        <v>0</v>
      </c>
      <c r="E44" s="35" cm="1">
        <f t="array" aca="1" ref="E44" ca="1">INDEX([1]Projects!$A$1:$F$305,CELL("row",E44),CELL("col",E44))</f>
        <v>0</v>
      </c>
      <c r="F44" s="35" cm="1">
        <f t="array" aca="1" ref="F44" ca="1">INDEX([1]Projects!$A$1:$F$305,CELL("row",F44),CELL("col",F44))</f>
        <v>0</v>
      </c>
      <c r="G44" s="10"/>
      <c r="H44" s="10"/>
      <c r="I44" s="19"/>
      <c r="J44" s="19"/>
    </row>
    <row r="45" spans="1:10" x14ac:dyDescent="0.3">
      <c r="A45" s="19"/>
      <c r="B45" s="35" cm="1">
        <f t="array" aca="1" ref="B45" ca="1">INDEX([1]Projects!$A$1:$F$305,CELL("row",B45),CELL("col",B45))</f>
        <v>0</v>
      </c>
      <c r="C45" s="35" cm="1">
        <f t="array" aca="1" ref="C45" ca="1">INDEX([1]Projects!$A$1:$F$305,CELL("row",C45),CELL("col",C45))</f>
        <v>0</v>
      </c>
      <c r="D45" s="35" cm="1">
        <f t="array" aca="1" ref="D45" ca="1">INDEX([1]Projects!$A$1:$F$305,CELL("row",D45),CELL("col",D45))</f>
        <v>0</v>
      </c>
      <c r="E45" s="35" cm="1">
        <f t="array" aca="1" ref="E45" ca="1">INDEX([1]Projects!$A$1:$F$305,CELL("row",E45),CELL("col",E45))</f>
        <v>0</v>
      </c>
      <c r="F45" s="35" cm="1">
        <f t="array" aca="1" ref="F45" ca="1">INDEX([1]Projects!$A$1:$F$305,CELL("row",F45),CELL("col",F45))</f>
        <v>0</v>
      </c>
      <c r="G45" s="19"/>
      <c r="H45" s="19"/>
      <c r="I45" s="19"/>
      <c r="J45" s="19"/>
    </row>
    <row r="46" spans="1:10" x14ac:dyDescent="0.3">
      <c r="A46" s="19"/>
      <c r="B46" s="35" cm="1">
        <f t="array" aca="1" ref="B46" ca="1">INDEX([1]Projects!$A$1:$F$305,CELL("row",B46),CELL("col",B46))</f>
        <v>0</v>
      </c>
      <c r="C46" s="35" cm="1">
        <f t="array" aca="1" ref="C46" ca="1">INDEX([1]Projects!$A$1:$F$305,CELL("row",C46),CELL("col",C46))</f>
        <v>0</v>
      </c>
      <c r="D46" s="35" cm="1">
        <f t="array" aca="1" ref="D46" ca="1">INDEX([1]Projects!$A$1:$F$305,CELL("row",D46),CELL("col",D46))</f>
        <v>0</v>
      </c>
      <c r="E46" s="35" cm="1">
        <f t="array" aca="1" ref="E46" ca="1">INDEX([1]Projects!$A$1:$F$305,CELL("row",E46),CELL("col",E46))</f>
        <v>0</v>
      </c>
      <c r="F46" s="35" cm="1">
        <f t="array" aca="1" ref="F46" ca="1">INDEX([1]Projects!$A$1:$F$305,CELL("row",F46),CELL("col",F46))</f>
        <v>0</v>
      </c>
      <c r="G46" s="19"/>
      <c r="H46" s="19"/>
      <c r="I46" s="19"/>
      <c r="J46" s="19"/>
    </row>
    <row r="47" spans="1:10" x14ac:dyDescent="0.3">
      <c r="A47" s="19"/>
      <c r="B47" s="35" cm="1">
        <f t="array" aca="1" ref="B47" ca="1">INDEX([1]Projects!$A$1:$F$305,CELL("row",B47),CELL("col",B47))</f>
        <v>0</v>
      </c>
      <c r="C47" s="35" cm="1">
        <f t="array" aca="1" ref="C47" ca="1">INDEX([1]Projects!$A$1:$F$305,CELL("row",C47),CELL("col",C47))</f>
        <v>0</v>
      </c>
      <c r="D47" s="35" cm="1">
        <f t="array" aca="1" ref="D47" ca="1">INDEX([1]Projects!$A$1:$F$305,CELL("row",D47),CELL("col",D47))</f>
        <v>0</v>
      </c>
      <c r="E47" s="35" cm="1">
        <f t="array" aca="1" ref="E47" ca="1">INDEX([1]Projects!$A$1:$F$305,CELL("row",E47),CELL("col",E47))</f>
        <v>0</v>
      </c>
      <c r="F47" s="35" cm="1">
        <f t="array" aca="1" ref="F47" ca="1">INDEX([1]Projects!$A$1:$F$305,CELL("row",F47),CELL("col",F47))</f>
        <v>0</v>
      </c>
      <c r="G47" s="19"/>
      <c r="H47" s="19"/>
      <c r="I47" s="19"/>
      <c r="J47" s="19"/>
    </row>
    <row r="48" spans="1:10" x14ac:dyDescent="0.3">
      <c r="A48" s="19"/>
      <c r="B48" s="35" cm="1">
        <f t="array" aca="1" ref="B48" ca="1">INDEX([1]Projects!$A$1:$F$305,CELL("row",B48),CELL("col",B48))</f>
        <v>0</v>
      </c>
      <c r="C48" s="35" cm="1">
        <f t="array" aca="1" ref="C48" ca="1">INDEX([1]Projects!$A$1:$F$305,CELL("row",C48),CELL("col",C48))</f>
        <v>0</v>
      </c>
      <c r="D48" s="35" cm="1">
        <f t="array" aca="1" ref="D48" ca="1">INDEX([1]Projects!$A$1:$F$305,CELL("row",D48),CELL("col",D48))</f>
        <v>0</v>
      </c>
      <c r="E48" s="35" cm="1">
        <f t="array" aca="1" ref="E48" ca="1">INDEX([1]Projects!$A$1:$F$305,CELL("row",E48),CELL("col",E48))</f>
        <v>0</v>
      </c>
      <c r="F48" s="35" cm="1">
        <f t="array" aca="1" ref="F48" ca="1">INDEX([1]Projects!$A$1:$F$305,CELL("row",F48),CELL("col",F48))</f>
        <v>0</v>
      </c>
      <c r="G48" s="19"/>
      <c r="H48" s="19"/>
      <c r="I48" s="19"/>
      <c r="J48" s="19"/>
    </row>
    <row r="49" spans="1:10" x14ac:dyDescent="0.3">
      <c r="A49" s="19"/>
      <c r="B49" s="35" cm="1">
        <f t="array" aca="1" ref="B49" ca="1">INDEX([1]Projects!$A$1:$F$305,CELL("row",B49),CELL("col",B49))</f>
        <v>0</v>
      </c>
      <c r="C49" s="35" cm="1">
        <f t="array" aca="1" ref="C49" ca="1">INDEX([1]Projects!$A$1:$F$305,CELL("row",C49),CELL("col",C49))</f>
        <v>0</v>
      </c>
      <c r="D49" s="35" cm="1">
        <f t="array" aca="1" ref="D49" ca="1">INDEX([1]Projects!$A$1:$F$305,CELL("row",D49),CELL("col",D49))</f>
        <v>0</v>
      </c>
      <c r="E49" s="35" cm="1">
        <f t="array" aca="1" ref="E49" ca="1">INDEX([1]Projects!$A$1:$F$305,CELL("row",E49),CELL("col",E49))</f>
        <v>0</v>
      </c>
      <c r="F49" s="35" cm="1">
        <f t="array" aca="1" ref="F49" ca="1">INDEX([1]Projects!$A$1:$F$305,CELL("row",F49),CELL("col",F49))</f>
        <v>0</v>
      </c>
      <c r="G49" s="19"/>
      <c r="H49" s="19"/>
      <c r="I49" s="19"/>
      <c r="J49" s="19"/>
    </row>
    <row r="50" spans="1:10" x14ac:dyDescent="0.3">
      <c r="A50" s="19"/>
      <c r="B50" s="35" cm="1">
        <f t="array" aca="1" ref="B50" ca="1">INDEX([1]Projects!$A$1:$F$305,CELL("row",B50),CELL("col",B50))</f>
        <v>0</v>
      </c>
      <c r="C50" s="35" cm="1">
        <f t="array" aca="1" ref="C50" ca="1">INDEX([1]Projects!$A$1:$F$305,CELL("row",C50),CELL("col",C50))</f>
        <v>0</v>
      </c>
      <c r="D50" s="35" cm="1">
        <f t="array" aca="1" ref="D50" ca="1">INDEX([1]Projects!$A$1:$F$305,CELL("row",D50),CELL("col",D50))</f>
        <v>0</v>
      </c>
      <c r="E50" s="35" cm="1">
        <f t="array" aca="1" ref="E50" ca="1">INDEX([1]Projects!$A$1:$F$305,CELL("row",E50),CELL("col",E50))</f>
        <v>0</v>
      </c>
      <c r="F50" s="35" cm="1">
        <f t="array" aca="1" ref="F50" ca="1">INDEX([1]Projects!$A$1:$F$305,CELL("row",F50),CELL("col",F50))</f>
        <v>0</v>
      </c>
      <c r="G50" s="19"/>
      <c r="H50" s="19"/>
      <c r="I50" s="19"/>
      <c r="J50" s="19"/>
    </row>
    <row r="51" spans="1:10" x14ac:dyDescent="0.3">
      <c r="A51" s="19"/>
      <c r="B51" s="35" cm="1">
        <f t="array" aca="1" ref="B51" ca="1">INDEX([1]Projects!$A$1:$F$305,CELL("row",B51),CELL("col",B51))</f>
        <v>0</v>
      </c>
      <c r="C51" s="35" cm="1">
        <f t="array" aca="1" ref="C51" ca="1">INDEX([1]Projects!$A$1:$F$305,CELL("row",C51),CELL("col",C51))</f>
        <v>0</v>
      </c>
      <c r="D51" s="35" cm="1">
        <f t="array" aca="1" ref="D51" ca="1">INDEX([1]Projects!$A$1:$F$305,CELL("row",D51),CELL("col",D51))</f>
        <v>0</v>
      </c>
      <c r="E51" s="35" cm="1">
        <f t="array" aca="1" ref="E51" ca="1">INDEX([1]Projects!$A$1:$F$305,CELL("row",E51),CELL("col",E51))</f>
        <v>0</v>
      </c>
      <c r="F51" s="35" cm="1">
        <f t="array" aca="1" ref="F51" ca="1">INDEX([1]Projects!$A$1:$F$305,CELL("row",F51),CELL("col",F51))</f>
        <v>0</v>
      </c>
      <c r="G51" s="19"/>
      <c r="H51" s="19"/>
      <c r="I51" s="19"/>
      <c r="J51" s="19"/>
    </row>
    <row r="52" spans="1:10" x14ac:dyDescent="0.3">
      <c r="A52" s="19"/>
      <c r="B52" s="35" cm="1">
        <f t="array" aca="1" ref="B52" ca="1">INDEX([1]Projects!$A$1:$F$305,CELL("row",B52),CELL("col",B52))</f>
        <v>0</v>
      </c>
      <c r="C52" s="35" cm="1">
        <f t="array" aca="1" ref="C52" ca="1">INDEX([1]Projects!$A$1:$F$305,CELL("row",C52),CELL("col",C52))</f>
        <v>0</v>
      </c>
      <c r="D52" s="35" cm="1">
        <f t="array" aca="1" ref="D52" ca="1">INDEX([1]Projects!$A$1:$F$305,CELL("row",D52),CELL("col",D52))</f>
        <v>0</v>
      </c>
      <c r="E52" s="35" cm="1">
        <f t="array" aca="1" ref="E52" ca="1">INDEX([1]Projects!$A$1:$F$305,CELL("row",E52),CELL("col",E52))</f>
        <v>0</v>
      </c>
      <c r="F52" s="35" cm="1">
        <f t="array" aca="1" ref="F52" ca="1">INDEX([1]Projects!$A$1:$F$305,CELL("row",F52),CELL("col",F52))</f>
        <v>0</v>
      </c>
      <c r="G52" s="19"/>
      <c r="H52" s="19"/>
      <c r="I52" s="19"/>
      <c r="J52" s="19"/>
    </row>
    <row r="53" spans="1:10" x14ac:dyDescent="0.3">
      <c r="A53" s="19"/>
      <c r="B53" s="35" cm="1">
        <f t="array" aca="1" ref="B53" ca="1">INDEX([1]Projects!$A$1:$F$305,CELL("row",B53),CELL("col",B53))</f>
        <v>0</v>
      </c>
      <c r="C53" s="35" cm="1">
        <f t="array" aca="1" ref="C53" ca="1">INDEX([1]Projects!$A$1:$F$305,CELL("row",C53),CELL("col",C53))</f>
        <v>0</v>
      </c>
      <c r="D53" s="35" cm="1">
        <f t="array" aca="1" ref="D53" ca="1">INDEX([1]Projects!$A$1:$F$305,CELL("row",D53),CELL("col",D53))</f>
        <v>0</v>
      </c>
      <c r="E53" s="35" cm="1">
        <f t="array" aca="1" ref="E53" ca="1">INDEX([1]Projects!$A$1:$F$305,CELL("row",E53),CELL("col",E53))</f>
        <v>0</v>
      </c>
      <c r="F53" s="35" cm="1">
        <f t="array" aca="1" ref="F53" ca="1">INDEX([1]Projects!$A$1:$F$305,CELL("row",F53),CELL("col",F53))</f>
        <v>0</v>
      </c>
      <c r="G53" s="19"/>
      <c r="H53" s="19"/>
      <c r="I53" s="19"/>
      <c r="J53" s="19"/>
    </row>
    <row r="54" spans="1:10" x14ac:dyDescent="0.3">
      <c r="A54" s="19"/>
      <c r="B54" s="35" cm="1">
        <f t="array" aca="1" ref="B54" ca="1">INDEX([1]Projects!$A$1:$F$305,CELL("row",B54),CELL("col",B54))</f>
        <v>0</v>
      </c>
      <c r="C54" s="35" cm="1">
        <f t="array" aca="1" ref="C54" ca="1">INDEX([1]Projects!$A$1:$F$305,CELL("row",C54),CELL("col",C54))</f>
        <v>0</v>
      </c>
      <c r="D54" s="35" cm="1">
        <f t="array" aca="1" ref="D54" ca="1">INDEX([1]Projects!$A$1:$F$305,CELL("row",D54),CELL("col",D54))</f>
        <v>0</v>
      </c>
      <c r="E54" s="35" cm="1">
        <f t="array" aca="1" ref="E54" ca="1">INDEX([1]Projects!$A$1:$F$305,CELL("row",E54),CELL("col",E54))</f>
        <v>0</v>
      </c>
      <c r="F54" s="35" cm="1">
        <f t="array" aca="1" ref="F54" ca="1">INDEX([1]Projects!$A$1:$F$305,CELL("row",F54),CELL("col",F54))</f>
        <v>0</v>
      </c>
      <c r="G54" s="19"/>
      <c r="H54" s="19"/>
      <c r="I54" s="19"/>
      <c r="J54" s="19"/>
    </row>
    <row r="55" spans="1:10" x14ac:dyDescent="0.3">
      <c r="A55" s="19"/>
      <c r="B55" s="35" cm="1">
        <f t="array" aca="1" ref="B55" ca="1">INDEX([1]Projects!$A$1:$F$305,CELL("row",B55),CELL("col",B55))</f>
        <v>0</v>
      </c>
      <c r="C55" s="35" cm="1">
        <f t="array" aca="1" ref="C55" ca="1">INDEX([1]Projects!$A$1:$F$305,CELL("row",C55),CELL("col",C55))</f>
        <v>0</v>
      </c>
      <c r="D55" s="35" cm="1">
        <f t="array" aca="1" ref="D55" ca="1">INDEX([1]Projects!$A$1:$F$305,CELL("row",D55),CELL("col",D55))</f>
        <v>0</v>
      </c>
      <c r="E55" s="35" cm="1">
        <f t="array" aca="1" ref="E55" ca="1">INDEX([1]Projects!$A$1:$F$305,CELL("row",E55),CELL("col",E55))</f>
        <v>0</v>
      </c>
      <c r="F55" s="35" cm="1">
        <f t="array" aca="1" ref="F55" ca="1">INDEX([1]Projects!$A$1:$F$305,CELL("row",F55),CELL("col",F55))</f>
        <v>0</v>
      </c>
      <c r="G55" s="19"/>
      <c r="H55" s="19"/>
      <c r="I55" s="19"/>
      <c r="J55" s="19"/>
    </row>
    <row r="56" spans="1:10" x14ac:dyDescent="0.3">
      <c r="A56" s="19"/>
      <c r="B56" s="35" cm="1">
        <f t="array" aca="1" ref="B56" ca="1">INDEX([1]Projects!$A$1:$F$305,CELL("row",B56),CELL("col",B56))</f>
        <v>0</v>
      </c>
      <c r="C56" s="35" cm="1">
        <f t="array" aca="1" ref="C56" ca="1">INDEX([1]Projects!$A$1:$F$305,CELL("row",C56),CELL("col",C56))</f>
        <v>0</v>
      </c>
      <c r="D56" s="35" cm="1">
        <f t="array" aca="1" ref="D56" ca="1">INDEX([1]Projects!$A$1:$F$305,CELL("row",D56),CELL("col",D56))</f>
        <v>0</v>
      </c>
      <c r="E56" s="35" cm="1">
        <f t="array" aca="1" ref="E56" ca="1">INDEX([1]Projects!$A$1:$F$305,CELL("row",E56),CELL("col",E56))</f>
        <v>0</v>
      </c>
      <c r="F56" s="35" cm="1">
        <f t="array" aca="1" ref="F56" ca="1">INDEX([1]Projects!$A$1:$F$305,CELL("row",F56),CELL("col",F56))</f>
        <v>0</v>
      </c>
      <c r="G56" s="19"/>
      <c r="H56" s="19"/>
      <c r="I56" s="19"/>
      <c r="J56" s="19"/>
    </row>
    <row r="57" spans="1:10" x14ac:dyDescent="0.3">
      <c r="A57" s="19"/>
      <c r="B57" s="35" cm="1">
        <f t="array" aca="1" ref="B57" ca="1">INDEX([1]Projects!$A$1:$F$305,CELL("row",B57),CELL("col",B57))</f>
        <v>0</v>
      </c>
      <c r="C57" s="35" cm="1">
        <f t="array" aca="1" ref="C57" ca="1">INDEX([1]Projects!$A$1:$F$305,CELL("row",C57),CELL("col",C57))</f>
        <v>0</v>
      </c>
      <c r="D57" s="35" cm="1">
        <f t="array" aca="1" ref="D57" ca="1">INDEX([1]Projects!$A$1:$F$305,CELL("row",D57),CELL("col",D57))</f>
        <v>0</v>
      </c>
      <c r="E57" s="35" cm="1">
        <f t="array" aca="1" ref="E57" ca="1">INDEX([1]Projects!$A$1:$F$305,CELL("row",E57),CELL("col",E57))</f>
        <v>0</v>
      </c>
      <c r="F57" s="35" cm="1">
        <f t="array" aca="1" ref="F57" ca="1">INDEX([1]Projects!$A$1:$F$305,CELL("row",F57),CELL("col",F57))</f>
        <v>0</v>
      </c>
      <c r="G57" s="19"/>
      <c r="H57" s="19"/>
      <c r="I57" s="19"/>
      <c r="J57" s="19"/>
    </row>
    <row r="58" spans="1:10" x14ac:dyDescent="0.3">
      <c r="A58" s="19"/>
      <c r="B58" s="35" cm="1">
        <f t="array" aca="1" ref="B58" ca="1">INDEX([1]Projects!$A$1:$F$305,CELL("row",B58),CELL("col",B58))</f>
        <v>0</v>
      </c>
      <c r="C58" s="35" cm="1">
        <f t="array" aca="1" ref="C58" ca="1">INDEX([1]Projects!$A$1:$F$305,CELL("row",C58),CELL("col",C58))</f>
        <v>0</v>
      </c>
      <c r="D58" s="35" cm="1">
        <f t="array" aca="1" ref="D58" ca="1">INDEX([1]Projects!$A$1:$F$305,CELL("row",D58),CELL("col",D58))</f>
        <v>0</v>
      </c>
      <c r="E58" s="35" cm="1">
        <f t="array" aca="1" ref="E58" ca="1">INDEX([1]Projects!$A$1:$F$305,CELL("row",E58),CELL("col",E58))</f>
        <v>0</v>
      </c>
      <c r="F58" s="35" cm="1">
        <f t="array" aca="1" ref="F58" ca="1">INDEX([1]Projects!$A$1:$F$305,CELL("row",F58),CELL("col",F58))</f>
        <v>0</v>
      </c>
      <c r="G58" s="19"/>
      <c r="H58" s="19"/>
      <c r="I58" s="19"/>
      <c r="J58" s="19"/>
    </row>
    <row r="59" spans="1:10" x14ac:dyDescent="0.3">
      <c r="A59" s="19"/>
      <c r="B59" s="35" cm="1">
        <f t="array" aca="1" ref="B59" ca="1">INDEX([1]Projects!$A$1:$F$305,CELL("row",B59),CELL("col",B59))</f>
        <v>0</v>
      </c>
      <c r="C59" s="35" cm="1">
        <f t="array" aca="1" ref="C59" ca="1">INDEX([1]Projects!$A$1:$F$305,CELL("row",C59),CELL("col",C59))</f>
        <v>0</v>
      </c>
      <c r="D59" s="35" cm="1">
        <f t="array" aca="1" ref="D59" ca="1">INDEX([1]Projects!$A$1:$F$305,CELL("row",D59),CELL("col",D59))</f>
        <v>0</v>
      </c>
      <c r="E59" s="35" cm="1">
        <f t="array" aca="1" ref="E59" ca="1">INDEX([1]Projects!$A$1:$F$305,CELL("row",E59),CELL("col",E59))</f>
        <v>0</v>
      </c>
      <c r="F59" s="35" cm="1">
        <f t="array" aca="1" ref="F59" ca="1">INDEX([1]Projects!$A$1:$F$305,CELL("row",F59),CELL("col",F59))</f>
        <v>0</v>
      </c>
      <c r="G59" s="19"/>
      <c r="H59" s="19"/>
      <c r="I59" s="19"/>
      <c r="J59" s="19"/>
    </row>
    <row r="60" spans="1:10" x14ac:dyDescent="0.3">
      <c r="A60" s="19"/>
      <c r="B60" s="35" cm="1">
        <f t="array" aca="1" ref="B60" ca="1">INDEX([1]Projects!$A$1:$F$305,CELL("row",B60),CELL("col",B60))</f>
        <v>0</v>
      </c>
      <c r="C60" s="35" cm="1">
        <f t="array" aca="1" ref="C60" ca="1">INDEX([1]Projects!$A$1:$F$305,CELL("row",C60),CELL("col",C60))</f>
        <v>0</v>
      </c>
      <c r="D60" s="35" cm="1">
        <f t="array" aca="1" ref="D60" ca="1">INDEX([1]Projects!$A$1:$F$305,CELL("row",D60),CELL("col",D60))</f>
        <v>0</v>
      </c>
      <c r="E60" s="35" cm="1">
        <f t="array" aca="1" ref="E60" ca="1">INDEX([1]Projects!$A$1:$F$305,CELL("row",E60),CELL("col",E60))</f>
        <v>0</v>
      </c>
      <c r="F60" s="35" cm="1">
        <f t="array" aca="1" ref="F60" ca="1">INDEX([1]Projects!$A$1:$F$305,CELL("row",F60),CELL("col",F60))</f>
        <v>0</v>
      </c>
      <c r="G60" s="19"/>
      <c r="H60" s="19"/>
      <c r="I60" s="19"/>
      <c r="J60" s="19"/>
    </row>
    <row r="61" spans="1:10" x14ac:dyDescent="0.3">
      <c r="A61" s="19"/>
      <c r="B61" s="35" cm="1">
        <f t="array" aca="1" ref="B61" ca="1">INDEX([1]Projects!$A$1:$F$305,CELL("row",B61),CELL("col",B61))</f>
        <v>0</v>
      </c>
      <c r="C61" s="35" cm="1">
        <f t="array" aca="1" ref="C61" ca="1">INDEX([1]Projects!$A$1:$F$305,CELL("row",C61),CELL("col",C61))</f>
        <v>0</v>
      </c>
      <c r="D61" s="35" cm="1">
        <f t="array" aca="1" ref="D61" ca="1">INDEX([1]Projects!$A$1:$F$305,CELL("row",D61),CELL("col",D61))</f>
        <v>0</v>
      </c>
      <c r="E61" s="35" cm="1">
        <f t="array" aca="1" ref="E61" ca="1">INDEX([1]Projects!$A$1:$F$305,CELL("row",E61),CELL("col",E61))</f>
        <v>0</v>
      </c>
      <c r="F61" s="35" cm="1">
        <f t="array" aca="1" ref="F61" ca="1">INDEX([1]Projects!$A$1:$F$305,CELL("row",F61),CELL("col",F61))</f>
        <v>0</v>
      </c>
      <c r="G61" s="19"/>
      <c r="H61" s="19"/>
      <c r="I61" s="19"/>
      <c r="J61" s="19"/>
    </row>
    <row r="62" spans="1:10" x14ac:dyDescent="0.3">
      <c r="A62" s="19"/>
      <c r="B62" s="35" cm="1">
        <f t="array" aca="1" ref="B62" ca="1">INDEX([1]Projects!$A$1:$F$305,CELL("row",B62),CELL("col",B62))</f>
        <v>0</v>
      </c>
      <c r="C62" s="35" cm="1">
        <f t="array" aca="1" ref="C62" ca="1">INDEX([1]Projects!$A$1:$F$305,CELL("row",C62),CELL("col",C62))</f>
        <v>0</v>
      </c>
      <c r="D62" s="35" cm="1">
        <f t="array" aca="1" ref="D62" ca="1">INDEX([1]Projects!$A$1:$F$305,CELL("row",D62),CELL("col",D62))</f>
        <v>0</v>
      </c>
      <c r="E62" s="35" cm="1">
        <f t="array" aca="1" ref="E62" ca="1">INDEX([1]Projects!$A$1:$F$305,CELL("row",E62),CELL("col",E62))</f>
        <v>0</v>
      </c>
      <c r="F62" s="35" cm="1">
        <f t="array" aca="1" ref="F62" ca="1">INDEX([1]Projects!$A$1:$F$305,CELL("row",F62),CELL("col",F62))</f>
        <v>0</v>
      </c>
      <c r="G62" s="19"/>
      <c r="H62" s="19"/>
      <c r="I62" s="19"/>
      <c r="J62" s="19"/>
    </row>
    <row r="63" spans="1:10" x14ac:dyDescent="0.3">
      <c r="A63" s="19"/>
      <c r="B63" s="35" cm="1">
        <f t="array" aca="1" ref="B63" ca="1">INDEX([1]Projects!$A$1:$F$305,CELL("row",B63),CELL("col",B63))</f>
        <v>0</v>
      </c>
      <c r="C63" s="35" cm="1">
        <f t="array" aca="1" ref="C63" ca="1">INDEX([1]Projects!$A$1:$F$305,CELL("row",C63),CELL("col",C63))</f>
        <v>0</v>
      </c>
      <c r="D63" s="35" cm="1">
        <f t="array" aca="1" ref="D63" ca="1">INDEX([1]Projects!$A$1:$F$305,CELL("row",D63),CELL("col",D63))</f>
        <v>0</v>
      </c>
      <c r="E63" s="35" cm="1">
        <f t="array" aca="1" ref="E63" ca="1">INDEX([1]Projects!$A$1:$F$305,CELL("row",E63),CELL("col",E63))</f>
        <v>0</v>
      </c>
      <c r="F63" s="35" cm="1">
        <f t="array" aca="1" ref="F63" ca="1">INDEX([1]Projects!$A$1:$F$305,CELL("row",F63),CELL("col",F63))</f>
        <v>0</v>
      </c>
      <c r="G63" s="19"/>
      <c r="H63" s="19"/>
      <c r="I63" s="19"/>
      <c r="J63" s="19"/>
    </row>
    <row r="64" spans="1:10" x14ac:dyDescent="0.3">
      <c r="A64" s="19"/>
      <c r="B64" s="35" cm="1">
        <f t="array" aca="1" ref="B64" ca="1">INDEX([1]Projects!$A$1:$F$305,CELL("row",B64),CELL("col",B64))</f>
        <v>0</v>
      </c>
      <c r="C64" s="35" cm="1">
        <f t="array" aca="1" ref="C64" ca="1">INDEX([1]Projects!$A$1:$F$305,CELL("row",C64),CELL("col",C64))</f>
        <v>0</v>
      </c>
      <c r="D64" s="35" cm="1">
        <f t="array" aca="1" ref="D64" ca="1">INDEX([1]Projects!$A$1:$F$305,CELL("row",D64),CELL("col",D64))</f>
        <v>0</v>
      </c>
      <c r="E64" s="35" cm="1">
        <f t="array" aca="1" ref="E64" ca="1">INDEX([1]Projects!$A$1:$F$305,CELL("row",E64),CELL("col",E64))</f>
        <v>0</v>
      </c>
      <c r="F64" s="35" cm="1">
        <f t="array" aca="1" ref="F64" ca="1">INDEX([1]Projects!$A$1:$F$305,CELL("row",F64),CELL("col",F64))</f>
        <v>0</v>
      </c>
      <c r="G64" s="19"/>
      <c r="H64" s="19"/>
      <c r="I64" s="19"/>
      <c r="J64" s="19"/>
    </row>
    <row r="65" spans="1:10" x14ac:dyDescent="0.3">
      <c r="A65" s="19"/>
      <c r="B65" s="35" cm="1">
        <f t="array" aca="1" ref="B65" ca="1">INDEX([1]Projects!$A$1:$F$305,CELL("row",B65),CELL("col",B65))</f>
        <v>0</v>
      </c>
      <c r="C65" s="35" cm="1">
        <f t="array" aca="1" ref="C65" ca="1">INDEX([1]Projects!$A$1:$F$305,CELL("row",C65),CELL("col",C65))</f>
        <v>0</v>
      </c>
      <c r="D65" s="35" cm="1">
        <f t="array" aca="1" ref="D65" ca="1">INDEX([1]Projects!$A$1:$F$305,CELL("row",D65),CELL("col",D65))</f>
        <v>0</v>
      </c>
      <c r="E65" s="35" cm="1">
        <f t="array" aca="1" ref="E65" ca="1">INDEX([1]Projects!$A$1:$F$305,CELL("row",E65),CELL("col",E65))</f>
        <v>0</v>
      </c>
      <c r="F65" s="35" cm="1">
        <f t="array" aca="1" ref="F65" ca="1">INDEX([1]Projects!$A$1:$F$305,CELL("row",F65),CELL("col",F65))</f>
        <v>0</v>
      </c>
      <c r="G65" s="19"/>
      <c r="H65" s="19"/>
      <c r="I65" s="19"/>
      <c r="J65" s="19"/>
    </row>
    <row r="66" spans="1:10" x14ac:dyDescent="0.3">
      <c r="A66" s="19"/>
      <c r="B66" s="35" cm="1">
        <f t="array" aca="1" ref="B66" ca="1">INDEX([1]Projects!$A$1:$F$305,CELL("row",B66),CELL("col",B66))</f>
        <v>0</v>
      </c>
      <c r="C66" s="35" cm="1">
        <f t="array" aca="1" ref="C66" ca="1">INDEX([1]Projects!$A$1:$F$305,CELL("row",C66),CELL("col",C66))</f>
        <v>0</v>
      </c>
      <c r="D66" s="35" cm="1">
        <f t="array" aca="1" ref="D66" ca="1">INDEX([1]Projects!$A$1:$F$305,CELL("row",D66),CELL("col",D66))</f>
        <v>0</v>
      </c>
      <c r="E66" s="35" cm="1">
        <f t="array" aca="1" ref="E66" ca="1">INDEX([1]Projects!$A$1:$F$305,CELL("row",E66),CELL("col",E66))</f>
        <v>0</v>
      </c>
      <c r="F66" s="35" cm="1">
        <f t="array" aca="1" ref="F66" ca="1">INDEX([1]Projects!$A$1:$F$305,CELL("row",F66),CELL("col",F66))</f>
        <v>0</v>
      </c>
      <c r="G66" s="19"/>
      <c r="H66" s="19"/>
      <c r="I66" s="19"/>
      <c r="J66" s="19"/>
    </row>
    <row r="67" spans="1:10" x14ac:dyDescent="0.3">
      <c r="A67" s="19"/>
      <c r="B67" s="35" cm="1">
        <f t="array" aca="1" ref="B67" ca="1">INDEX([1]Projects!$A$1:$F$305,CELL("row",B67),CELL("col",B67))</f>
        <v>0</v>
      </c>
      <c r="C67" s="35" cm="1">
        <f t="array" aca="1" ref="C67" ca="1">INDEX([1]Projects!$A$1:$F$305,CELL("row",C67),CELL("col",C67))</f>
        <v>0</v>
      </c>
      <c r="D67" s="35" cm="1">
        <f t="array" aca="1" ref="D67" ca="1">INDEX([1]Projects!$A$1:$F$305,CELL("row",D67),CELL("col",D67))</f>
        <v>0</v>
      </c>
      <c r="E67" s="35" cm="1">
        <f t="array" aca="1" ref="E67" ca="1">INDEX([1]Projects!$A$1:$F$305,CELL("row",E67),CELL("col",E67))</f>
        <v>0</v>
      </c>
      <c r="F67" s="35" cm="1">
        <f t="array" aca="1" ref="F67" ca="1">INDEX([1]Projects!$A$1:$F$305,CELL("row",F67),CELL("col",F67))</f>
        <v>0</v>
      </c>
      <c r="G67" s="19"/>
      <c r="H67" s="19"/>
      <c r="I67" s="19"/>
      <c r="J67" s="19"/>
    </row>
    <row r="68" spans="1:10" x14ac:dyDescent="0.3">
      <c r="A68" s="19"/>
      <c r="B68" s="35" cm="1">
        <f t="array" aca="1" ref="B68" ca="1">INDEX([1]Projects!$A$1:$F$305,CELL("row",B68),CELL("col",B68))</f>
        <v>0</v>
      </c>
      <c r="C68" s="35" cm="1">
        <f t="array" aca="1" ref="C68" ca="1">INDEX([1]Projects!$A$1:$F$305,CELL("row",C68),CELL("col",C68))</f>
        <v>0</v>
      </c>
      <c r="D68" s="35" cm="1">
        <f t="array" aca="1" ref="D68" ca="1">INDEX([1]Projects!$A$1:$F$305,CELL("row",D68),CELL("col",D68))</f>
        <v>0</v>
      </c>
      <c r="E68" s="35" cm="1">
        <f t="array" aca="1" ref="E68" ca="1">INDEX([1]Projects!$A$1:$F$305,CELL("row",E68),CELL("col",E68))</f>
        <v>0</v>
      </c>
      <c r="F68" s="35" cm="1">
        <f t="array" aca="1" ref="F68" ca="1">INDEX([1]Projects!$A$1:$F$305,CELL("row",F68),CELL("col",F68))</f>
        <v>0</v>
      </c>
      <c r="G68" s="19"/>
      <c r="H68" s="19"/>
      <c r="I68" s="19"/>
      <c r="J68" s="19"/>
    </row>
    <row r="69" spans="1:10" x14ac:dyDescent="0.3">
      <c r="A69" s="19"/>
      <c r="B69" s="35" cm="1">
        <f t="array" aca="1" ref="B69" ca="1">INDEX([1]Projects!$A$1:$F$305,CELL("row",B69),CELL("col",B69))</f>
        <v>0</v>
      </c>
      <c r="C69" s="35" cm="1">
        <f t="array" aca="1" ref="C69" ca="1">INDEX([1]Projects!$A$1:$F$305,CELL("row",C69),CELL("col",C69))</f>
        <v>0</v>
      </c>
      <c r="D69" s="35" cm="1">
        <f t="array" aca="1" ref="D69" ca="1">INDEX([1]Projects!$A$1:$F$305,CELL("row",D69),CELL("col",D69))</f>
        <v>0</v>
      </c>
      <c r="E69" s="35" cm="1">
        <f t="array" aca="1" ref="E69" ca="1">INDEX([1]Projects!$A$1:$F$305,CELL("row",E69),CELL("col",E69))</f>
        <v>0</v>
      </c>
      <c r="F69" s="35" cm="1">
        <f t="array" aca="1" ref="F69" ca="1">INDEX([1]Projects!$A$1:$F$305,CELL("row",F69),CELL("col",F69))</f>
        <v>0</v>
      </c>
      <c r="G69" s="19"/>
      <c r="H69" s="19"/>
      <c r="I69" s="19"/>
      <c r="J69" s="19"/>
    </row>
    <row r="70" spans="1:10" x14ac:dyDescent="0.3">
      <c r="A70" s="19"/>
      <c r="B70" s="35" cm="1">
        <f t="array" aca="1" ref="B70" ca="1">INDEX([1]Projects!$A$1:$F$305,CELL("row",B70),CELL("col",B70))</f>
        <v>0</v>
      </c>
      <c r="C70" s="35" cm="1">
        <f t="array" aca="1" ref="C70" ca="1">INDEX([1]Projects!$A$1:$F$305,CELL("row",C70),CELL("col",C70))</f>
        <v>0</v>
      </c>
      <c r="D70" s="35" cm="1">
        <f t="array" aca="1" ref="D70" ca="1">INDEX([1]Projects!$A$1:$F$305,CELL("row",D70),CELL("col",D70))</f>
        <v>0</v>
      </c>
      <c r="E70" s="35" cm="1">
        <f t="array" aca="1" ref="E70" ca="1">INDEX([1]Projects!$A$1:$F$305,CELL("row",E70),CELL("col",E70))</f>
        <v>0</v>
      </c>
      <c r="F70" s="35" cm="1">
        <f t="array" aca="1" ref="F70" ca="1">INDEX([1]Projects!$A$1:$F$305,CELL("row",F70),CELL("col",F70))</f>
        <v>0</v>
      </c>
      <c r="G70" s="19"/>
      <c r="H70" s="19"/>
      <c r="I70" s="19"/>
      <c r="J70" s="19"/>
    </row>
    <row r="71" spans="1:10" x14ac:dyDescent="0.3">
      <c r="A71" s="19"/>
      <c r="B71" s="35" cm="1">
        <f t="array" aca="1" ref="B71" ca="1">INDEX([1]Projects!$A$1:$F$305,CELL("row",B71),CELL("col",B71))</f>
        <v>0</v>
      </c>
      <c r="C71" s="35" cm="1">
        <f t="array" aca="1" ref="C71" ca="1">INDEX([1]Projects!$A$1:$F$305,CELL("row",C71),CELL("col",C71))</f>
        <v>0</v>
      </c>
      <c r="D71" s="35" cm="1">
        <f t="array" aca="1" ref="D71" ca="1">INDEX([1]Projects!$A$1:$F$305,CELL("row",D71),CELL("col",D71))</f>
        <v>0</v>
      </c>
      <c r="E71" s="35" cm="1">
        <f t="array" aca="1" ref="E71" ca="1">INDEX([1]Projects!$A$1:$F$305,CELL("row",E71),CELL("col",E71))</f>
        <v>0</v>
      </c>
      <c r="F71" s="35" cm="1">
        <f t="array" aca="1" ref="F71" ca="1">INDEX([1]Projects!$A$1:$F$305,CELL("row",F71),CELL("col",F71))</f>
        <v>0</v>
      </c>
      <c r="G71" s="19"/>
      <c r="H71" s="19"/>
      <c r="I71" s="19"/>
      <c r="J71" s="19"/>
    </row>
    <row r="72" spans="1:10" x14ac:dyDescent="0.3">
      <c r="A72" s="19"/>
      <c r="B72" s="35" cm="1">
        <f t="array" aca="1" ref="B72" ca="1">INDEX([1]Projects!$A$1:$F$305,CELL("row",B72),CELL("col",B72))</f>
        <v>0</v>
      </c>
      <c r="C72" s="35" cm="1">
        <f t="array" aca="1" ref="C72" ca="1">INDEX([1]Projects!$A$1:$F$305,CELL("row",C72),CELL("col",C72))</f>
        <v>0</v>
      </c>
      <c r="D72" s="35" cm="1">
        <f t="array" aca="1" ref="D72" ca="1">INDEX([1]Projects!$A$1:$F$305,CELL("row",D72),CELL("col",D72))</f>
        <v>0</v>
      </c>
      <c r="E72" s="35" cm="1">
        <f t="array" aca="1" ref="E72" ca="1">INDEX([1]Projects!$A$1:$F$305,CELL("row",E72),CELL("col",E72))</f>
        <v>0</v>
      </c>
      <c r="F72" s="35" cm="1">
        <f t="array" aca="1" ref="F72" ca="1">INDEX([1]Projects!$A$1:$F$305,CELL("row",F72),CELL("col",F72))</f>
        <v>0</v>
      </c>
      <c r="G72" s="19"/>
      <c r="H72" s="19"/>
      <c r="I72" s="19"/>
      <c r="J72" s="19"/>
    </row>
    <row r="73" spans="1:10" x14ac:dyDescent="0.3">
      <c r="A73" s="19"/>
      <c r="B73" s="35" cm="1">
        <f t="array" aca="1" ref="B73" ca="1">INDEX([1]Projects!$A$1:$F$305,CELL("row",B73),CELL("col",B73))</f>
        <v>0</v>
      </c>
      <c r="C73" s="35" cm="1">
        <f t="array" aca="1" ref="C73" ca="1">INDEX([1]Projects!$A$1:$F$305,CELL("row",C73),CELL("col",C73))</f>
        <v>0</v>
      </c>
      <c r="D73" s="35" cm="1">
        <f t="array" aca="1" ref="D73" ca="1">INDEX([1]Projects!$A$1:$F$305,CELL("row",D73),CELL("col",D73))</f>
        <v>0</v>
      </c>
      <c r="E73" s="35" cm="1">
        <f t="array" aca="1" ref="E73" ca="1">INDEX([1]Projects!$A$1:$F$305,CELL("row",E73),CELL("col",E73))</f>
        <v>0</v>
      </c>
      <c r="F73" s="35" cm="1">
        <f t="array" aca="1" ref="F73" ca="1">INDEX([1]Projects!$A$1:$F$305,CELL("row",F73),CELL("col",F73))</f>
        <v>0</v>
      </c>
      <c r="G73" s="19"/>
      <c r="H73" s="19"/>
      <c r="I73" s="19"/>
      <c r="J73" s="19"/>
    </row>
    <row r="74" spans="1:10" x14ac:dyDescent="0.3">
      <c r="A74" s="19"/>
      <c r="B74" s="35" cm="1">
        <f t="array" aca="1" ref="B74" ca="1">INDEX([1]Projects!$A$1:$F$305,CELL("row",B74),CELL("col",B74))</f>
        <v>0</v>
      </c>
      <c r="C74" s="35" cm="1">
        <f t="array" aca="1" ref="C74" ca="1">INDEX([1]Projects!$A$1:$F$305,CELL("row",C74),CELL("col",C74))</f>
        <v>0</v>
      </c>
      <c r="D74" s="35" cm="1">
        <f t="array" aca="1" ref="D74" ca="1">INDEX([1]Projects!$A$1:$F$305,CELL("row",D74),CELL("col",D74))</f>
        <v>0</v>
      </c>
      <c r="E74" s="35" cm="1">
        <f t="array" aca="1" ref="E74" ca="1">INDEX([1]Projects!$A$1:$F$305,CELL("row",E74),CELL("col",E74))</f>
        <v>0</v>
      </c>
      <c r="F74" s="35" cm="1">
        <f t="array" aca="1" ref="F74" ca="1">INDEX([1]Projects!$A$1:$F$305,CELL("row",F74),CELL("col",F74))</f>
        <v>0</v>
      </c>
      <c r="G74" s="19"/>
      <c r="H74" s="19"/>
      <c r="I74" s="19"/>
      <c r="J74" s="19"/>
    </row>
    <row r="75" spans="1:10" x14ac:dyDescent="0.3">
      <c r="A75" s="19"/>
      <c r="B75" s="35" cm="1">
        <f t="array" aca="1" ref="B75" ca="1">INDEX([1]Projects!$A$1:$F$305,CELL("row",B75),CELL("col",B75))</f>
        <v>0</v>
      </c>
      <c r="C75" s="35" cm="1">
        <f t="array" aca="1" ref="C75" ca="1">INDEX([1]Projects!$A$1:$F$305,CELL("row",C75),CELL("col",C75))</f>
        <v>0</v>
      </c>
      <c r="D75" s="35" cm="1">
        <f t="array" aca="1" ref="D75" ca="1">INDEX([1]Projects!$A$1:$F$305,CELL("row",D75),CELL("col",D75))</f>
        <v>0</v>
      </c>
      <c r="E75" s="35" cm="1">
        <f t="array" aca="1" ref="E75" ca="1">INDEX([1]Projects!$A$1:$F$305,CELL("row",E75),CELL("col",E75))</f>
        <v>0</v>
      </c>
      <c r="F75" s="35" cm="1">
        <f t="array" aca="1" ref="F75" ca="1">INDEX([1]Projects!$A$1:$F$305,CELL("row",F75),CELL("col",F75))</f>
        <v>0</v>
      </c>
      <c r="G75" s="19"/>
      <c r="H75" s="19"/>
      <c r="I75" s="19"/>
      <c r="J75" s="19"/>
    </row>
    <row r="76" spans="1:10" x14ac:dyDescent="0.3">
      <c r="A76" s="19"/>
      <c r="B76" s="35" cm="1">
        <f t="array" aca="1" ref="B76" ca="1">INDEX([1]Projects!$A$1:$F$305,CELL("row",B76),CELL("col",B76))</f>
        <v>0</v>
      </c>
      <c r="C76" s="35" cm="1">
        <f t="array" aca="1" ref="C76" ca="1">INDEX([1]Projects!$A$1:$F$305,CELL("row",C76),CELL("col",C76))</f>
        <v>0</v>
      </c>
      <c r="D76" s="35" cm="1">
        <f t="array" aca="1" ref="D76" ca="1">INDEX([1]Projects!$A$1:$F$305,CELL("row",D76),CELL("col",D76))</f>
        <v>0</v>
      </c>
      <c r="E76" s="35" cm="1">
        <f t="array" aca="1" ref="E76" ca="1">INDEX([1]Projects!$A$1:$F$305,CELL("row",E76),CELL("col",E76))</f>
        <v>0</v>
      </c>
      <c r="F76" s="35" cm="1">
        <f t="array" aca="1" ref="F76" ca="1">INDEX([1]Projects!$A$1:$F$305,CELL("row",F76),CELL("col",F76))</f>
        <v>0</v>
      </c>
      <c r="G76" s="19"/>
      <c r="H76" s="19"/>
      <c r="I76" s="19"/>
      <c r="J76" s="19"/>
    </row>
    <row r="77" spans="1:10" x14ac:dyDescent="0.3">
      <c r="A77" s="19"/>
      <c r="B77" s="35" cm="1">
        <f t="array" aca="1" ref="B77" ca="1">INDEX([1]Projects!$A$1:$F$305,CELL("row",B77),CELL("col",B77))</f>
        <v>0</v>
      </c>
      <c r="C77" s="35" cm="1">
        <f t="array" aca="1" ref="C77" ca="1">INDEX([1]Projects!$A$1:$F$305,CELL("row",C77),CELL("col",C77))</f>
        <v>0</v>
      </c>
      <c r="D77" s="35" cm="1">
        <f t="array" aca="1" ref="D77" ca="1">INDEX([1]Projects!$A$1:$F$305,CELL("row",D77),CELL("col",D77))</f>
        <v>0</v>
      </c>
      <c r="E77" s="35" cm="1">
        <f t="array" aca="1" ref="E77" ca="1">INDEX([1]Projects!$A$1:$F$305,CELL("row",E77),CELL("col",E77))</f>
        <v>0</v>
      </c>
      <c r="F77" s="35" cm="1">
        <f t="array" aca="1" ref="F77" ca="1">INDEX([1]Projects!$A$1:$F$305,CELL("row",F77),CELL("col",F77))</f>
        <v>0</v>
      </c>
      <c r="G77" s="19"/>
      <c r="H77" s="19"/>
      <c r="I77" s="19"/>
      <c r="J77" s="19"/>
    </row>
    <row r="78" spans="1:10" x14ac:dyDescent="0.3">
      <c r="A78" s="19"/>
      <c r="B78" s="35" cm="1">
        <f t="array" aca="1" ref="B78" ca="1">INDEX([1]Projects!$A$1:$F$305,CELL("row",B78),CELL("col",B78))</f>
        <v>0</v>
      </c>
      <c r="C78" s="35" cm="1">
        <f t="array" aca="1" ref="C78" ca="1">INDEX([1]Projects!$A$1:$F$305,CELL("row",C78),CELL("col",C78))</f>
        <v>0</v>
      </c>
      <c r="D78" s="35" cm="1">
        <f t="array" aca="1" ref="D78" ca="1">INDEX([1]Projects!$A$1:$F$305,CELL("row",D78),CELL("col",D78))</f>
        <v>0</v>
      </c>
      <c r="E78" s="35" cm="1">
        <f t="array" aca="1" ref="E78" ca="1">INDEX([1]Projects!$A$1:$F$305,CELL("row",E78),CELL("col",E78))</f>
        <v>0</v>
      </c>
      <c r="F78" s="35" cm="1">
        <f t="array" aca="1" ref="F78" ca="1">INDEX([1]Projects!$A$1:$F$305,CELL("row",F78),CELL("col",F78))</f>
        <v>0</v>
      </c>
      <c r="G78" s="19"/>
      <c r="H78" s="19"/>
      <c r="I78" s="19"/>
      <c r="J78" s="19"/>
    </row>
    <row r="79" spans="1:10" x14ac:dyDescent="0.3">
      <c r="A79" s="19"/>
      <c r="B79" s="35" cm="1">
        <f t="array" aca="1" ref="B79" ca="1">INDEX([1]Projects!$A$1:$F$305,CELL("row",B79),CELL("col",B79))</f>
        <v>0</v>
      </c>
      <c r="C79" s="35" cm="1">
        <f t="array" aca="1" ref="C79" ca="1">INDEX([1]Projects!$A$1:$F$305,CELL("row",C79),CELL("col",C79))</f>
        <v>0</v>
      </c>
      <c r="D79" s="35" cm="1">
        <f t="array" aca="1" ref="D79" ca="1">INDEX([1]Projects!$A$1:$F$305,CELL("row",D79),CELL("col",D79))</f>
        <v>0</v>
      </c>
      <c r="E79" s="35" cm="1">
        <f t="array" aca="1" ref="E79" ca="1">INDEX([1]Projects!$A$1:$F$305,CELL("row",E79),CELL("col",E79))</f>
        <v>0</v>
      </c>
      <c r="F79" s="35" cm="1">
        <f t="array" aca="1" ref="F79" ca="1">INDEX([1]Projects!$A$1:$F$305,CELL("row",F79),CELL("col",F79))</f>
        <v>0</v>
      </c>
      <c r="G79" s="19"/>
      <c r="H79" s="19"/>
      <c r="I79" s="19"/>
      <c r="J79" s="19"/>
    </row>
    <row r="80" spans="1:10" x14ac:dyDescent="0.3">
      <c r="A80" s="19"/>
      <c r="B80" s="35" cm="1">
        <f t="array" aca="1" ref="B80" ca="1">INDEX([1]Projects!$A$1:$F$305,CELL("row",B80),CELL("col",B80))</f>
        <v>0</v>
      </c>
      <c r="C80" s="35" cm="1">
        <f t="array" aca="1" ref="C80" ca="1">INDEX([1]Projects!$A$1:$F$305,CELL("row",C80),CELL("col",C80))</f>
        <v>0</v>
      </c>
      <c r="D80" s="35" cm="1">
        <f t="array" aca="1" ref="D80" ca="1">INDEX([1]Projects!$A$1:$F$305,CELL("row",D80),CELL("col",D80))</f>
        <v>0</v>
      </c>
      <c r="E80" s="35" cm="1">
        <f t="array" aca="1" ref="E80" ca="1">INDEX([1]Projects!$A$1:$F$305,CELL("row",E80),CELL("col",E80))</f>
        <v>0</v>
      </c>
      <c r="F80" s="35" cm="1">
        <f t="array" aca="1" ref="F80" ca="1">INDEX([1]Projects!$A$1:$F$305,CELL("row",F80),CELL("col",F80))</f>
        <v>0</v>
      </c>
      <c r="G80" s="19"/>
      <c r="H80" s="19"/>
      <c r="I80" s="19"/>
      <c r="J80" s="19"/>
    </row>
    <row r="81" spans="1:10" x14ac:dyDescent="0.3">
      <c r="A81" s="19"/>
      <c r="B81" s="35" cm="1">
        <f t="array" aca="1" ref="B81" ca="1">INDEX([1]Projects!$A$1:$F$305,CELL("row",B81),CELL("col",B81))</f>
        <v>0</v>
      </c>
      <c r="C81" s="35" cm="1">
        <f t="array" aca="1" ref="C81" ca="1">INDEX([1]Projects!$A$1:$F$305,CELL("row",C81),CELL("col",C81))</f>
        <v>0</v>
      </c>
      <c r="D81" s="35" cm="1">
        <f t="array" aca="1" ref="D81" ca="1">INDEX([1]Projects!$A$1:$F$305,CELL("row",D81),CELL("col",D81))</f>
        <v>0</v>
      </c>
      <c r="E81" s="35" cm="1">
        <f t="array" aca="1" ref="E81" ca="1">INDEX([1]Projects!$A$1:$F$305,CELL("row",E81),CELL("col",E81))</f>
        <v>0</v>
      </c>
      <c r="F81" s="35" cm="1">
        <f t="array" aca="1" ref="F81" ca="1">INDEX([1]Projects!$A$1:$F$305,CELL("row",F81),CELL("col",F81))</f>
        <v>0</v>
      </c>
      <c r="G81" s="19"/>
      <c r="H81" s="19"/>
      <c r="I81" s="19"/>
      <c r="J81" s="19"/>
    </row>
    <row r="82" spans="1:10" x14ac:dyDescent="0.3">
      <c r="A82" s="19"/>
      <c r="B82" s="35" cm="1">
        <f t="array" aca="1" ref="B82" ca="1">INDEX([1]Projects!$A$1:$F$305,CELL("row",B82),CELL("col",B82))</f>
        <v>0</v>
      </c>
      <c r="C82" s="35" cm="1">
        <f t="array" aca="1" ref="C82" ca="1">INDEX([1]Projects!$A$1:$F$305,CELL("row",C82),CELL("col",C82))</f>
        <v>0</v>
      </c>
      <c r="D82" s="35" cm="1">
        <f t="array" aca="1" ref="D82" ca="1">INDEX([1]Projects!$A$1:$F$305,CELL("row",D82),CELL("col",D82))</f>
        <v>0</v>
      </c>
      <c r="E82" s="35" cm="1">
        <f t="array" aca="1" ref="E82" ca="1">INDEX([1]Projects!$A$1:$F$305,CELL("row",E82),CELL("col",E82))</f>
        <v>0</v>
      </c>
      <c r="F82" s="35" cm="1">
        <f t="array" aca="1" ref="F82" ca="1">INDEX([1]Projects!$A$1:$F$305,CELL("row",F82),CELL("col",F82))</f>
        <v>0</v>
      </c>
      <c r="G82" s="19"/>
      <c r="H82" s="19"/>
      <c r="I82" s="19"/>
      <c r="J82" s="19"/>
    </row>
    <row r="83" spans="1:10" x14ac:dyDescent="0.3">
      <c r="A83" s="19"/>
      <c r="B83" s="35" cm="1">
        <f t="array" aca="1" ref="B83" ca="1">INDEX([1]Projects!$A$1:$F$305,CELL("row",B83),CELL("col",B83))</f>
        <v>0</v>
      </c>
      <c r="C83" s="35" cm="1">
        <f t="array" aca="1" ref="C83" ca="1">INDEX([1]Projects!$A$1:$F$305,CELL("row",C83),CELL("col",C83))</f>
        <v>0</v>
      </c>
      <c r="D83" s="35" cm="1">
        <f t="array" aca="1" ref="D83" ca="1">INDEX([1]Projects!$A$1:$F$305,CELL("row",D83),CELL("col",D83))</f>
        <v>0</v>
      </c>
      <c r="E83" s="35" cm="1">
        <f t="array" aca="1" ref="E83" ca="1">INDEX([1]Projects!$A$1:$F$305,CELL("row",E83),CELL("col",E83))</f>
        <v>0</v>
      </c>
      <c r="F83" s="35" cm="1">
        <f t="array" aca="1" ref="F83" ca="1">INDEX([1]Projects!$A$1:$F$305,CELL("row",F83),CELL("col",F83))</f>
        <v>0</v>
      </c>
      <c r="G83" s="19"/>
      <c r="H83" s="19"/>
      <c r="I83" s="19"/>
      <c r="J83" s="19"/>
    </row>
    <row r="84" spans="1:10" x14ac:dyDescent="0.3">
      <c r="A84" s="19"/>
      <c r="B84" s="35" cm="1">
        <f t="array" aca="1" ref="B84" ca="1">INDEX([1]Projects!$A$1:$F$305,CELL("row",B84),CELL("col",B84))</f>
        <v>0</v>
      </c>
      <c r="C84" s="35" cm="1">
        <f t="array" aca="1" ref="C84" ca="1">INDEX([1]Projects!$A$1:$F$305,CELL("row",C84),CELL("col",C84))</f>
        <v>0</v>
      </c>
      <c r="D84" s="35" cm="1">
        <f t="array" aca="1" ref="D84" ca="1">INDEX([1]Projects!$A$1:$F$305,CELL("row",D84),CELL("col",D84))</f>
        <v>0</v>
      </c>
      <c r="E84" s="35" cm="1">
        <f t="array" aca="1" ref="E84" ca="1">INDEX([1]Projects!$A$1:$F$305,CELL("row",E84),CELL("col",E84))</f>
        <v>0</v>
      </c>
      <c r="F84" s="35" cm="1">
        <f t="array" aca="1" ref="F84" ca="1">INDEX([1]Projects!$A$1:$F$305,CELL("row",F84),CELL("col",F84))</f>
        <v>0</v>
      </c>
      <c r="G84" s="19"/>
      <c r="H84" s="19"/>
      <c r="I84" s="19"/>
      <c r="J84" s="19"/>
    </row>
    <row r="85" spans="1:10" x14ac:dyDescent="0.3">
      <c r="A85" s="19"/>
      <c r="B85" s="35" cm="1">
        <f t="array" aca="1" ref="B85" ca="1">INDEX([1]Projects!$A$1:$F$305,CELL("row",B85),CELL("col",B85))</f>
        <v>0</v>
      </c>
      <c r="C85" s="35" cm="1">
        <f t="array" aca="1" ref="C85" ca="1">INDEX([1]Projects!$A$1:$F$305,CELL("row",C85),CELL("col",C85))</f>
        <v>0</v>
      </c>
      <c r="D85" s="35" cm="1">
        <f t="array" aca="1" ref="D85" ca="1">INDEX([1]Projects!$A$1:$F$305,CELL("row",D85),CELL("col",D85))</f>
        <v>0</v>
      </c>
      <c r="E85" s="35" cm="1">
        <f t="array" aca="1" ref="E85" ca="1">INDEX([1]Projects!$A$1:$F$305,CELL("row",E85),CELL("col",E85))</f>
        <v>0</v>
      </c>
      <c r="F85" s="35" cm="1">
        <f t="array" aca="1" ref="F85" ca="1">INDEX([1]Projects!$A$1:$F$305,CELL("row",F85),CELL("col",F85))</f>
        <v>0</v>
      </c>
      <c r="G85" s="19"/>
      <c r="H85" s="19"/>
      <c r="I85" s="19"/>
      <c r="J85" s="19"/>
    </row>
    <row r="86" spans="1:10" x14ac:dyDescent="0.3">
      <c r="A86" s="19"/>
      <c r="B86" s="35" cm="1">
        <f t="array" aca="1" ref="B86" ca="1">INDEX([1]Projects!$A$1:$F$305,CELL("row",B86),CELL("col",B86))</f>
        <v>0</v>
      </c>
      <c r="C86" s="35" cm="1">
        <f t="array" aca="1" ref="C86" ca="1">INDEX([1]Projects!$A$1:$F$305,CELL("row",C86),CELL("col",C86))</f>
        <v>0</v>
      </c>
      <c r="D86" s="35" cm="1">
        <f t="array" aca="1" ref="D86" ca="1">INDEX([1]Projects!$A$1:$F$305,CELL("row",D86),CELL("col",D86))</f>
        <v>0</v>
      </c>
      <c r="E86" s="35" cm="1">
        <f t="array" aca="1" ref="E86" ca="1">INDEX([1]Projects!$A$1:$F$305,CELL("row",E86),CELL("col",E86))</f>
        <v>0</v>
      </c>
      <c r="F86" s="35" cm="1">
        <f t="array" aca="1" ref="F86" ca="1">INDEX([1]Projects!$A$1:$F$305,CELL("row",F86),CELL("col",F86))</f>
        <v>0</v>
      </c>
      <c r="G86" s="19"/>
      <c r="H86" s="19"/>
      <c r="I86" s="19"/>
      <c r="J86" s="19"/>
    </row>
    <row r="87" spans="1:10" x14ac:dyDescent="0.3">
      <c r="A87" s="19"/>
      <c r="B87" s="35" cm="1">
        <f t="array" aca="1" ref="B87" ca="1">INDEX([1]Projects!$A$1:$F$305,CELL("row",B87),CELL("col",B87))</f>
        <v>0</v>
      </c>
      <c r="C87" s="35" cm="1">
        <f t="array" aca="1" ref="C87" ca="1">INDEX([1]Projects!$A$1:$F$305,CELL("row",C87),CELL("col",C87))</f>
        <v>0</v>
      </c>
      <c r="D87" s="35" cm="1">
        <f t="array" aca="1" ref="D87" ca="1">INDEX([1]Projects!$A$1:$F$305,CELL("row",D87),CELL("col",D87))</f>
        <v>0</v>
      </c>
      <c r="E87" s="35" cm="1">
        <f t="array" aca="1" ref="E87" ca="1">INDEX([1]Projects!$A$1:$F$305,CELL("row",E87),CELL("col",E87))</f>
        <v>0</v>
      </c>
      <c r="F87" s="35" cm="1">
        <f t="array" aca="1" ref="F87" ca="1">INDEX([1]Projects!$A$1:$F$305,CELL("row",F87),CELL("col",F87))</f>
        <v>0</v>
      </c>
      <c r="G87" s="19"/>
      <c r="H87" s="19"/>
      <c r="I87" s="19"/>
      <c r="J87" s="19"/>
    </row>
    <row r="88" spans="1:10" x14ac:dyDescent="0.3">
      <c r="A88" s="19"/>
      <c r="B88" s="35" cm="1">
        <f t="array" aca="1" ref="B88" ca="1">INDEX([1]Projects!$A$1:$F$305,CELL("row",B88),CELL("col",B88))</f>
        <v>0</v>
      </c>
      <c r="C88" s="35" cm="1">
        <f t="array" aca="1" ref="C88" ca="1">INDEX([1]Projects!$A$1:$F$305,CELL("row",C88),CELL("col",C88))</f>
        <v>0</v>
      </c>
      <c r="D88" s="35" cm="1">
        <f t="array" aca="1" ref="D88" ca="1">INDEX([1]Projects!$A$1:$F$305,CELL("row",D88),CELL("col",D88))</f>
        <v>0</v>
      </c>
      <c r="E88" s="35" cm="1">
        <f t="array" aca="1" ref="E88" ca="1">INDEX([1]Projects!$A$1:$F$305,CELL("row",E88),CELL("col",E88))</f>
        <v>0</v>
      </c>
      <c r="F88" s="35" cm="1">
        <f t="array" aca="1" ref="F88" ca="1">INDEX([1]Projects!$A$1:$F$305,CELL("row",F88),CELL("col",F88))</f>
        <v>0</v>
      </c>
      <c r="G88" s="19"/>
      <c r="H88" s="19"/>
      <c r="I88" s="19"/>
      <c r="J88" s="19"/>
    </row>
    <row r="89" spans="1:10" x14ac:dyDescent="0.3">
      <c r="A89" s="19"/>
      <c r="B89" s="35" cm="1">
        <f t="array" aca="1" ref="B89" ca="1">INDEX([1]Projects!$A$1:$F$305,CELL("row",B89),CELL("col",B89))</f>
        <v>0</v>
      </c>
      <c r="C89" s="35" cm="1">
        <f t="array" aca="1" ref="C89" ca="1">INDEX([1]Projects!$A$1:$F$305,CELL("row",C89),CELL("col",C89))</f>
        <v>0</v>
      </c>
      <c r="D89" s="35" cm="1">
        <f t="array" aca="1" ref="D89" ca="1">INDEX([1]Projects!$A$1:$F$305,CELL("row",D89),CELL("col",D89))</f>
        <v>0</v>
      </c>
      <c r="E89" s="35" cm="1">
        <f t="array" aca="1" ref="E89" ca="1">INDEX([1]Projects!$A$1:$F$305,CELL("row",E89),CELL("col",E89))</f>
        <v>0</v>
      </c>
      <c r="F89" s="35" cm="1">
        <f t="array" aca="1" ref="F89" ca="1">INDEX([1]Projects!$A$1:$F$305,CELL("row",F89),CELL("col",F89))</f>
        <v>0</v>
      </c>
      <c r="G89" s="19"/>
      <c r="H89" s="19"/>
      <c r="I89" s="19"/>
      <c r="J89" s="19"/>
    </row>
    <row r="90" spans="1:10" x14ac:dyDescent="0.3">
      <c r="A90" s="19"/>
      <c r="B90" s="35" cm="1">
        <f t="array" aca="1" ref="B90" ca="1">INDEX([1]Projects!$A$1:$F$305,CELL("row",B90),CELL("col",B90))</f>
        <v>0</v>
      </c>
      <c r="C90" s="35" cm="1">
        <f t="array" aca="1" ref="C90" ca="1">INDEX([1]Projects!$A$1:$F$305,CELL("row",C90),CELL("col",C90))</f>
        <v>0</v>
      </c>
      <c r="D90" s="35" cm="1">
        <f t="array" aca="1" ref="D90" ca="1">INDEX([1]Projects!$A$1:$F$305,CELL("row",D90),CELL("col",D90))</f>
        <v>0</v>
      </c>
      <c r="E90" s="35" cm="1">
        <f t="array" aca="1" ref="E90" ca="1">INDEX([1]Projects!$A$1:$F$305,CELL("row",E90),CELL("col",E90))</f>
        <v>0</v>
      </c>
      <c r="F90" s="35" cm="1">
        <f t="array" aca="1" ref="F90" ca="1">INDEX([1]Projects!$A$1:$F$305,CELL("row",F90),CELL("col",F90))</f>
        <v>0</v>
      </c>
      <c r="G90" s="19"/>
      <c r="H90" s="19"/>
      <c r="I90" s="19"/>
      <c r="J90" s="19"/>
    </row>
    <row r="91" spans="1:10" x14ac:dyDescent="0.3">
      <c r="A91" s="19"/>
      <c r="B91" s="35" cm="1">
        <f t="array" aca="1" ref="B91" ca="1">INDEX([1]Projects!$A$1:$F$305,CELL("row",B91),CELL("col",B91))</f>
        <v>0</v>
      </c>
      <c r="C91" s="35" cm="1">
        <f t="array" aca="1" ref="C91" ca="1">INDEX([1]Projects!$A$1:$F$305,CELL("row",C91),CELL("col",C91))</f>
        <v>0</v>
      </c>
      <c r="D91" s="35" cm="1">
        <f t="array" aca="1" ref="D91" ca="1">INDEX([1]Projects!$A$1:$F$305,CELL("row",D91),CELL("col",D91))</f>
        <v>0</v>
      </c>
      <c r="E91" s="35" cm="1">
        <f t="array" aca="1" ref="E91" ca="1">INDEX([1]Projects!$A$1:$F$305,CELL("row",E91),CELL("col",E91))</f>
        <v>0</v>
      </c>
      <c r="F91" s="35" cm="1">
        <f t="array" aca="1" ref="F91" ca="1">INDEX([1]Projects!$A$1:$F$305,CELL("row",F91),CELL("col",F91))</f>
        <v>0</v>
      </c>
      <c r="G91" s="19"/>
      <c r="H91" s="19"/>
      <c r="I91" s="19"/>
      <c r="J91" s="19"/>
    </row>
    <row r="92" spans="1:10" x14ac:dyDescent="0.3">
      <c r="A92" s="19"/>
      <c r="B92" s="35" cm="1">
        <f t="array" aca="1" ref="B92" ca="1">INDEX([1]Projects!$A$1:$F$305,CELL("row",B92),CELL("col",B92))</f>
        <v>0</v>
      </c>
      <c r="C92" s="35" cm="1">
        <f t="array" aca="1" ref="C92" ca="1">INDEX([1]Projects!$A$1:$F$305,CELL("row",C92),CELL("col",C92))</f>
        <v>0</v>
      </c>
      <c r="D92" s="35" cm="1">
        <f t="array" aca="1" ref="D92" ca="1">INDEX([1]Projects!$A$1:$F$305,CELL("row",D92),CELL("col",D92))</f>
        <v>0</v>
      </c>
      <c r="E92" s="35" cm="1">
        <f t="array" aca="1" ref="E92" ca="1">INDEX([1]Projects!$A$1:$F$305,CELL("row",E92),CELL("col",E92))</f>
        <v>0</v>
      </c>
      <c r="F92" s="35" cm="1">
        <f t="array" aca="1" ref="F92" ca="1">INDEX([1]Projects!$A$1:$F$305,CELL("row",F92),CELL("col",F92))</f>
        <v>0</v>
      </c>
      <c r="G92" s="19"/>
      <c r="H92" s="19"/>
      <c r="I92" s="19"/>
      <c r="J92" s="19"/>
    </row>
    <row r="93" spans="1:10" x14ac:dyDescent="0.3">
      <c r="A93" s="19"/>
      <c r="B93" s="35" cm="1">
        <f t="array" aca="1" ref="B93" ca="1">INDEX([1]Projects!$A$1:$F$305,CELL("row",B93),CELL("col",B93))</f>
        <v>0</v>
      </c>
      <c r="C93" s="35" cm="1">
        <f t="array" aca="1" ref="C93" ca="1">INDEX([1]Projects!$A$1:$F$305,CELL("row",C93),CELL("col",C93))</f>
        <v>0</v>
      </c>
      <c r="D93" s="35" cm="1">
        <f t="array" aca="1" ref="D93" ca="1">INDEX([1]Projects!$A$1:$F$305,CELL("row",D93),CELL("col",D93))</f>
        <v>0</v>
      </c>
      <c r="E93" s="35" cm="1">
        <f t="array" aca="1" ref="E93" ca="1">INDEX([1]Projects!$A$1:$F$305,CELL("row",E93),CELL("col",E93))</f>
        <v>0</v>
      </c>
      <c r="F93" s="35" cm="1">
        <f t="array" aca="1" ref="F93" ca="1">INDEX([1]Projects!$A$1:$F$305,CELL("row",F93),CELL("col",F93))</f>
        <v>0</v>
      </c>
      <c r="G93" s="19"/>
      <c r="H93" s="19"/>
      <c r="I93" s="19"/>
      <c r="J93" s="19"/>
    </row>
    <row r="94" spans="1:10" x14ac:dyDescent="0.3">
      <c r="A94" s="19"/>
      <c r="B94" s="35" cm="1">
        <f t="array" aca="1" ref="B94" ca="1">INDEX([1]Projects!$A$1:$F$305,CELL("row",B94),CELL("col",B94))</f>
        <v>0</v>
      </c>
      <c r="C94" s="35" cm="1">
        <f t="array" aca="1" ref="C94" ca="1">INDEX([1]Projects!$A$1:$F$305,CELL("row",C94),CELL("col",C94))</f>
        <v>0</v>
      </c>
      <c r="D94" s="35" cm="1">
        <f t="array" aca="1" ref="D94" ca="1">INDEX([1]Projects!$A$1:$F$305,CELL("row",D94),CELL("col",D94))</f>
        <v>0</v>
      </c>
      <c r="E94" s="35" cm="1">
        <f t="array" aca="1" ref="E94" ca="1">INDEX([1]Projects!$A$1:$F$305,CELL("row",E94),CELL("col",E94))</f>
        <v>0</v>
      </c>
      <c r="F94" s="35" cm="1">
        <f t="array" aca="1" ref="F94" ca="1">INDEX([1]Projects!$A$1:$F$305,CELL("row",F94),CELL("col",F94))</f>
        <v>0</v>
      </c>
      <c r="G94" s="19"/>
      <c r="H94" s="19"/>
      <c r="I94" s="19"/>
      <c r="J94" s="19"/>
    </row>
    <row r="95" spans="1:10" x14ac:dyDescent="0.3">
      <c r="A95" s="19"/>
      <c r="B95" s="35" cm="1">
        <f t="array" aca="1" ref="B95" ca="1">INDEX([1]Projects!$A$1:$F$305,CELL("row",B95),CELL("col",B95))</f>
        <v>0</v>
      </c>
      <c r="C95" s="35" cm="1">
        <f t="array" aca="1" ref="C95" ca="1">INDEX([1]Projects!$A$1:$F$305,CELL("row",C95),CELL("col",C95))</f>
        <v>0</v>
      </c>
      <c r="D95" s="35" cm="1">
        <f t="array" aca="1" ref="D95" ca="1">INDEX([1]Projects!$A$1:$F$305,CELL("row",D95),CELL("col",D95))</f>
        <v>0</v>
      </c>
      <c r="E95" s="35" cm="1">
        <f t="array" aca="1" ref="E95" ca="1">INDEX([1]Projects!$A$1:$F$305,CELL("row",E95),CELL("col",E95))</f>
        <v>0</v>
      </c>
      <c r="F95" s="35" cm="1">
        <f t="array" aca="1" ref="F95" ca="1">INDEX([1]Projects!$A$1:$F$305,CELL("row",F95),CELL("col",F95))</f>
        <v>0</v>
      </c>
      <c r="G95" s="19"/>
      <c r="H95" s="19"/>
      <c r="I95" s="19"/>
      <c r="J95" s="19"/>
    </row>
    <row r="96" spans="1:10" x14ac:dyDescent="0.3">
      <c r="A96" s="19"/>
      <c r="B96" s="35" cm="1">
        <f t="array" aca="1" ref="B96" ca="1">INDEX([1]Projects!$A$1:$F$305,CELL("row",B96),CELL("col",B96))</f>
        <v>0</v>
      </c>
      <c r="C96" s="35" cm="1">
        <f t="array" aca="1" ref="C96" ca="1">INDEX([1]Projects!$A$1:$F$305,CELL("row",C96),CELL("col",C96))</f>
        <v>0</v>
      </c>
      <c r="D96" s="35" cm="1">
        <f t="array" aca="1" ref="D96" ca="1">INDEX([1]Projects!$A$1:$F$305,CELL("row",D96),CELL("col",D96))</f>
        <v>0</v>
      </c>
      <c r="E96" s="35" cm="1">
        <f t="array" aca="1" ref="E96" ca="1">INDEX([1]Projects!$A$1:$F$305,CELL("row",E96),CELL("col",E96))</f>
        <v>0</v>
      </c>
      <c r="F96" s="35" cm="1">
        <f t="array" aca="1" ref="F96" ca="1">INDEX([1]Projects!$A$1:$F$305,CELL("row",F96),CELL("col",F96))</f>
        <v>0</v>
      </c>
      <c r="G96" s="19"/>
      <c r="H96" s="19"/>
      <c r="I96" s="19"/>
      <c r="J96" s="19"/>
    </row>
    <row r="97" spans="1:10" x14ac:dyDescent="0.3">
      <c r="A97" s="19"/>
      <c r="B97" s="35" cm="1">
        <f t="array" aca="1" ref="B97" ca="1">INDEX([1]Projects!$A$1:$F$305,CELL("row",B97),CELL("col",B97))</f>
        <v>0</v>
      </c>
      <c r="C97" s="35" cm="1">
        <f t="array" aca="1" ref="C97" ca="1">INDEX([1]Projects!$A$1:$F$305,CELL("row",C97),CELL("col",C97))</f>
        <v>0</v>
      </c>
      <c r="D97" s="35" cm="1">
        <f t="array" aca="1" ref="D97" ca="1">INDEX([1]Projects!$A$1:$F$305,CELL("row",D97),CELL("col",D97))</f>
        <v>0</v>
      </c>
      <c r="E97" s="35" cm="1">
        <f t="array" aca="1" ref="E97" ca="1">INDEX([1]Projects!$A$1:$F$305,CELL("row",E97),CELL("col",E97))</f>
        <v>0</v>
      </c>
      <c r="F97" s="35" cm="1">
        <f t="array" aca="1" ref="F97" ca="1">INDEX([1]Projects!$A$1:$F$305,CELL("row",F97),CELL("col",F97))</f>
        <v>0</v>
      </c>
      <c r="G97" s="19"/>
      <c r="H97" s="19"/>
      <c r="I97" s="19"/>
      <c r="J97" s="19"/>
    </row>
    <row r="98" spans="1:10" x14ac:dyDescent="0.3">
      <c r="A98" s="19"/>
      <c r="B98" s="35" cm="1">
        <f t="array" aca="1" ref="B98" ca="1">INDEX([1]Projects!$A$1:$F$305,CELL("row",B98),CELL("col",B98))</f>
        <v>0</v>
      </c>
      <c r="C98" s="35" cm="1">
        <f t="array" aca="1" ref="C98" ca="1">INDEX([1]Projects!$A$1:$F$305,CELL("row",C98),CELL("col",C98))</f>
        <v>0</v>
      </c>
      <c r="D98" s="35" cm="1">
        <f t="array" aca="1" ref="D98" ca="1">INDEX([1]Projects!$A$1:$F$305,CELL("row",D98),CELL("col",D98))</f>
        <v>0</v>
      </c>
      <c r="E98" s="35" cm="1">
        <f t="array" aca="1" ref="E98" ca="1">INDEX([1]Projects!$A$1:$F$305,CELL("row",E98),CELL("col",E98))</f>
        <v>0</v>
      </c>
      <c r="F98" s="35" cm="1">
        <f t="array" aca="1" ref="F98" ca="1">INDEX([1]Projects!$A$1:$F$305,CELL("row",F98),CELL("col",F98))</f>
        <v>0</v>
      </c>
      <c r="G98" s="19"/>
      <c r="H98" s="19"/>
      <c r="I98" s="19"/>
      <c r="J98" s="19"/>
    </row>
    <row r="99" spans="1:10" x14ac:dyDescent="0.3">
      <c r="A99" s="19"/>
      <c r="B99" s="35" cm="1">
        <f t="array" aca="1" ref="B99" ca="1">INDEX([1]Projects!$A$1:$F$305,CELL("row",B99),CELL("col",B99))</f>
        <v>0</v>
      </c>
      <c r="C99" s="35" cm="1">
        <f t="array" aca="1" ref="C99" ca="1">INDEX([1]Projects!$A$1:$F$305,CELL("row",C99),CELL("col",C99))</f>
        <v>0</v>
      </c>
      <c r="D99" s="35" cm="1">
        <f t="array" aca="1" ref="D99" ca="1">INDEX([1]Projects!$A$1:$F$305,CELL("row",D99),CELL("col",D99))</f>
        <v>0</v>
      </c>
      <c r="E99" s="35" cm="1">
        <f t="array" aca="1" ref="E99" ca="1">INDEX([1]Projects!$A$1:$F$305,CELL("row",E99),CELL("col",E99))</f>
        <v>0</v>
      </c>
      <c r="F99" s="35" cm="1">
        <f t="array" aca="1" ref="F99" ca="1">INDEX([1]Projects!$A$1:$F$305,CELL("row",F99),CELL("col",F99))</f>
        <v>0</v>
      </c>
      <c r="G99" s="19"/>
      <c r="H99" s="19"/>
      <c r="I99" s="19"/>
      <c r="J99" s="19"/>
    </row>
    <row r="100" spans="1:10" x14ac:dyDescent="0.3">
      <c r="A100" s="19"/>
      <c r="B100" s="35" cm="1">
        <f t="array" aca="1" ref="B100" ca="1">INDEX([1]Projects!$A$1:$F$305,CELL("row",B100),CELL("col",B100))</f>
        <v>0</v>
      </c>
      <c r="C100" s="35" cm="1">
        <f t="array" aca="1" ref="C100" ca="1">INDEX([1]Projects!$A$1:$F$305,CELL("row",C100),CELL("col",C100))</f>
        <v>0</v>
      </c>
      <c r="D100" s="35" cm="1">
        <f t="array" aca="1" ref="D100" ca="1">INDEX([1]Projects!$A$1:$F$305,CELL("row",D100),CELL("col",D100))</f>
        <v>0</v>
      </c>
      <c r="E100" s="35" cm="1">
        <f t="array" aca="1" ref="E100" ca="1">INDEX([1]Projects!$A$1:$F$305,CELL("row",E100),CELL("col",E100))</f>
        <v>0</v>
      </c>
      <c r="F100" s="35" cm="1">
        <f t="array" aca="1" ref="F100" ca="1">INDEX([1]Projects!$A$1:$F$305,CELL("row",F100),CELL("col",F100))</f>
        <v>0</v>
      </c>
      <c r="G100" s="19"/>
      <c r="H100" s="19"/>
      <c r="I100" s="19"/>
      <c r="J100" s="19"/>
    </row>
    <row r="101" spans="1:10" x14ac:dyDescent="0.3">
      <c r="A101" s="19"/>
      <c r="B101" s="35" cm="1">
        <f t="array" aca="1" ref="B101" ca="1">INDEX([1]Projects!$A$1:$F$305,CELL("row",B101),CELL("col",B101))</f>
        <v>0</v>
      </c>
      <c r="C101" s="35" cm="1">
        <f t="array" aca="1" ref="C101" ca="1">INDEX([1]Projects!$A$1:$F$305,CELL("row",C101),CELL("col",C101))</f>
        <v>0</v>
      </c>
      <c r="D101" s="35" cm="1">
        <f t="array" aca="1" ref="D101" ca="1">INDEX([1]Projects!$A$1:$F$305,CELL("row",D101),CELL("col",D101))</f>
        <v>0</v>
      </c>
      <c r="E101" s="35" cm="1">
        <f t="array" aca="1" ref="E101" ca="1">INDEX([1]Projects!$A$1:$F$305,CELL("row",E101),CELL("col",E101))</f>
        <v>0</v>
      </c>
      <c r="F101" s="35" cm="1">
        <f t="array" aca="1" ref="F101" ca="1">INDEX([1]Projects!$A$1:$F$305,CELL("row",F101),CELL("col",F101))</f>
        <v>0</v>
      </c>
      <c r="G101" s="19"/>
      <c r="H101" s="19"/>
      <c r="I101" s="19"/>
      <c r="J101" s="19"/>
    </row>
    <row r="102" spans="1:10" x14ac:dyDescent="0.3">
      <c r="A102" s="19"/>
      <c r="B102" s="35" cm="1">
        <f t="array" aca="1" ref="B102" ca="1">INDEX([1]Projects!$A$1:$F$305,CELL("row",B102),CELL("col",B102))</f>
        <v>0</v>
      </c>
      <c r="C102" s="35" cm="1">
        <f t="array" aca="1" ref="C102" ca="1">INDEX([1]Projects!$A$1:$F$305,CELL("row",C102),CELL("col",C102))</f>
        <v>0</v>
      </c>
      <c r="D102" s="35" cm="1">
        <f t="array" aca="1" ref="D102" ca="1">INDEX([1]Projects!$A$1:$F$305,CELL("row",D102),CELL("col",D102))</f>
        <v>0</v>
      </c>
      <c r="E102" s="35" cm="1">
        <f t="array" aca="1" ref="E102" ca="1">INDEX([1]Projects!$A$1:$F$305,CELL("row",E102),CELL("col",E102))</f>
        <v>0</v>
      </c>
      <c r="F102" s="35" cm="1">
        <f t="array" aca="1" ref="F102" ca="1">INDEX([1]Projects!$A$1:$F$305,CELL("row",F102),CELL("col",F102))</f>
        <v>0</v>
      </c>
      <c r="G102" s="19"/>
      <c r="H102" s="19"/>
      <c r="I102" s="19"/>
      <c r="J102" s="19"/>
    </row>
    <row r="103" spans="1:10" x14ac:dyDescent="0.3">
      <c r="A103" s="19"/>
      <c r="B103" s="35" cm="1">
        <f t="array" aca="1" ref="B103" ca="1">INDEX([1]Projects!$A$1:$F$305,CELL("row",B103),CELL("col",B103))</f>
        <v>0</v>
      </c>
      <c r="C103" s="35" cm="1">
        <f t="array" aca="1" ref="C103" ca="1">INDEX([1]Projects!$A$1:$F$305,CELL("row",C103),CELL("col",C103))</f>
        <v>0</v>
      </c>
      <c r="D103" s="35" cm="1">
        <f t="array" aca="1" ref="D103" ca="1">INDEX([1]Projects!$A$1:$F$305,CELL("row",D103),CELL("col",D103))</f>
        <v>0</v>
      </c>
      <c r="E103" s="35" cm="1">
        <f t="array" aca="1" ref="E103" ca="1">INDEX([1]Projects!$A$1:$F$305,CELL("row",E103),CELL("col",E103))</f>
        <v>0</v>
      </c>
      <c r="F103" s="35" cm="1">
        <f t="array" aca="1" ref="F103" ca="1">INDEX([1]Projects!$A$1:$F$305,CELL("row",F103),CELL("col",F103))</f>
        <v>0</v>
      </c>
      <c r="G103" s="19"/>
      <c r="H103" s="19"/>
      <c r="I103" s="19"/>
      <c r="J103" s="19"/>
    </row>
    <row r="104" spans="1:10" x14ac:dyDescent="0.3">
      <c r="A104" s="19"/>
      <c r="B104" s="35" cm="1">
        <f t="array" aca="1" ref="B104" ca="1">INDEX([1]Projects!$A$1:$F$305,CELL("row",B104),CELL("col",B104))</f>
        <v>0</v>
      </c>
      <c r="C104" s="35" cm="1">
        <f t="array" aca="1" ref="C104" ca="1">INDEX([1]Projects!$A$1:$F$305,CELL("row",C104),CELL("col",C104))</f>
        <v>0</v>
      </c>
      <c r="D104" s="35" cm="1">
        <f t="array" aca="1" ref="D104" ca="1">INDEX([1]Projects!$A$1:$F$305,CELL("row",D104),CELL("col",D104))</f>
        <v>0</v>
      </c>
      <c r="E104" s="35" cm="1">
        <f t="array" aca="1" ref="E104" ca="1">INDEX([1]Projects!$A$1:$F$305,CELL("row",E104),CELL("col",E104))</f>
        <v>0</v>
      </c>
      <c r="F104" s="35" cm="1">
        <f t="array" aca="1" ref="F104" ca="1">INDEX([1]Projects!$A$1:$F$305,CELL("row",F104),CELL("col",F104))</f>
        <v>0</v>
      </c>
      <c r="G104" s="19"/>
      <c r="H104" s="19"/>
      <c r="I104" s="19"/>
      <c r="J104" s="19"/>
    </row>
    <row r="105" spans="1:10" x14ac:dyDescent="0.3">
      <c r="A105" s="19"/>
      <c r="B105" s="35" cm="1">
        <f t="array" aca="1" ref="B105" ca="1">INDEX([1]Projects!$A$1:$F$305,CELL("row",B105),CELL("col",B105))</f>
        <v>0</v>
      </c>
      <c r="C105" s="35" cm="1">
        <f t="array" aca="1" ref="C105" ca="1">INDEX([1]Projects!$A$1:$F$305,CELL("row",C105),CELL("col",C105))</f>
        <v>0</v>
      </c>
      <c r="D105" s="35" cm="1">
        <f t="array" aca="1" ref="D105" ca="1">INDEX([1]Projects!$A$1:$F$305,CELL("row",D105),CELL("col",D105))</f>
        <v>0</v>
      </c>
      <c r="E105" s="35" cm="1">
        <f t="array" aca="1" ref="E105" ca="1">INDEX([1]Projects!$A$1:$F$305,CELL("row",E105),CELL("col",E105))</f>
        <v>0</v>
      </c>
      <c r="F105" s="35" cm="1">
        <f t="array" aca="1" ref="F105" ca="1">INDEX([1]Projects!$A$1:$F$305,CELL("row",F105),CELL("col",F105))</f>
        <v>0</v>
      </c>
      <c r="G105" s="19"/>
      <c r="H105" s="19"/>
      <c r="I105" s="19"/>
      <c r="J105" s="19"/>
    </row>
    <row r="106" spans="1:10" x14ac:dyDescent="0.3">
      <c r="A106" s="19"/>
      <c r="B106" s="35" cm="1">
        <f t="array" aca="1" ref="B106" ca="1">INDEX([1]Projects!$A$1:$F$305,CELL("row",B106),CELL("col",B106))</f>
        <v>0</v>
      </c>
      <c r="C106" s="35" cm="1">
        <f t="array" aca="1" ref="C106" ca="1">INDEX([1]Projects!$A$1:$F$305,CELL("row",C106),CELL("col",C106))</f>
        <v>0</v>
      </c>
      <c r="D106" s="35" cm="1">
        <f t="array" aca="1" ref="D106" ca="1">INDEX([1]Projects!$A$1:$F$305,CELL("row",D106),CELL("col",D106))</f>
        <v>0</v>
      </c>
      <c r="E106" s="35" cm="1">
        <f t="array" aca="1" ref="E106" ca="1">INDEX([1]Projects!$A$1:$F$305,CELL("row",E106),CELL("col",E106))</f>
        <v>0</v>
      </c>
      <c r="F106" s="35" cm="1">
        <f t="array" aca="1" ref="F106" ca="1">INDEX([1]Projects!$A$1:$F$305,CELL("row",F106),CELL("col",F106))</f>
        <v>0</v>
      </c>
      <c r="G106" s="19"/>
      <c r="H106" s="19"/>
      <c r="I106" s="19"/>
      <c r="J106" s="19"/>
    </row>
    <row r="107" spans="1:10" x14ac:dyDescent="0.3">
      <c r="A107" s="19"/>
      <c r="B107" s="35" cm="1">
        <f t="array" aca="1" ref="B107" ca="1">INDEX([1]Projects!$A$1:$F$305,CELL("row",B107),CELL("col",B107))</f>
        <v>0</v>
      </c>
      <c r="C107" s="35" cm="1">
        <f t="array" aca="1" ref="C107" ca="1">INDEX([1]Projects!$A$1:$F$305,CELL("row",C107),CELL("col",C107))</f>
        <v>0</v>
      </c>
      <c r="D107" s="35" cm="1">
        <f t="array" aca="1" ref="D107" ca="1">INDEX([1]Projects!$A$1:$F$305,CELL("row",D107),CELL("col",D107))</f>
        <v>0</v>
      </c>
      <c r="E107" s="35" cm="1">
        <f t="array" aca="1" ref="E107" ca="1">INDEX([1]Projects!$A$1:$F$305,CELL("row",E107),CELL("col",E107))</f>
        <v>0</v>
      </c>
      <c r="F107" s="35" cm="1">
        <f t="array" aca="1" ref="F107" ca="1">INDEX([1]Projects!$A$1:$F$305,CELL("row",F107),CELL("col",F107))</f>
        <v>0</v>
      </c>
      <c r="G107" s="19"/>
      <c r="H107" s="19"/>
      <c r="I107" s="19"/>
      <c r="J107" s="19"/>
    </row>
    <row r="108" spans="1:10" x14ac:dyDescent="0.3">
      <c r="A108" s="19"/>
      <c r="B108" s="35" cm="1">
        <f t="array" aca="1" ref="B108" ca="1">INDEX([1]Projects!$A$1:$F$305,CELL("row",B108),CELL("col",B108))</f>
        <v>0</v>
      </c>
      <c r="C108" s="35" cm="1">
        <f t="array" aca="1" ref="C108" ca="1">INDEX([1]Projects!$A$1:$F$305,CELL("row",C108),CELL("col",C108))</f>
        <v>0</v>
      </c>
      <c r="D108" s="35" cm="1">
        <f t="array" aca="1" ref="D108" ca="1">INDEX([1]Projects!$A$1:$F$305,CELL("row",D108),CELL("col",D108))</f>
        <v>0</v>
      </c>
      <c r="E108" s="35" cm="1">
        <f t="array" aca="1" ref="E108" ca="1">INDEX([1]Projects!$A$1:$F$305,CELL("row",E108),CELL("col",E108))</f>
        <v>0</v>
      </c>
      <c r="F108" s="35" cm="1">
        <f t="array" aca="1" ref="F108" ca="1">INDEX([1]Projects!$A$1:$F$305,CELL("row",F108),CELL("col",F108))</f>
        <v>0</v>
      </c>
      <c r="G108" s="19"/>
      <c r="H108" s="19"/>
      <c r="I108" s="19"/>
      <c r="J108" s="19"/>
    </row>
    <row r="109" spans="1:10" x14ac:dyDescent="0.3">
      <c r="A109" s="19"/>
      <c r="B109" s="35" cm="1">
        <f t="array" aca="1" ref="B109" ca="1">INDEX([1]Projects!$A$1:$F$305,CELL("row",B109),CELL("col",B109))</f>
        <v>0</v>
      </c>
      <c r="C109" s="35" cm="1">
        <f t="array" aca="1" ref="C109" ca="1">INDEX([1]Projects!$A$1:$F$305,CELL("row",C109),CELL("col",C109))</f>
        <v>0</v>
      </c>
      <c r="D109" s="35" cm="1">
        <f t="array" aca="1" ref="D109" ca="1">INDEX([1]Projects!$A$1:$F$305,CELL("row",D109),CELL("col",D109))</f>
        <v>0</v>
      </c>
      <c r="E109" s="35" cm="1">
        <f t="array" aca="1" ref="E109" ca="1">INDEX([1]Projects!$A$1:$F$305,CELL("row",E109),CELL("col",E109))</f>
        <v>0</v>
      </c>
      <c r="F109" s="35" cm="1">
        <f t="array" aca="1" ref="F109" ca="1">INDEX([1]Projects!$A$1:$F$305,CELL("row",F109),CELL("col",F109))</f>
        <v>0</v>
      </c>
      <c r="G109" s="19"/>
      <c r="H109" s="19"/>
      <c r="I109" s="19"/>
      <c r="J109" s="19"/>
    </row>
    <row r="110" spans="1:10" x14ac:dyDescent="0.3">
      <c r="A110" s="19"/>
      <c r="B110" s="35" cm="1">
        <f t="array" aca="1" ref="B110" ca="1">INDEX([1]Projects!$A$1:$F$305,CELL("row",B110),CELL("col",B110))</f>
        <v>0</v>
      </c>
      <c r="C110" s="35" cm="1">
        <f t="array" aca="1" ref="C110" ca="1">INDEX([1]Projects!$A$1:$F$305,CELL("row",C110),CELL("col",C110))</f>
        <v>0</v>
      </c>
      <c r="D110" s="35" cm="1">
        <f t="array" aca="1" ref="D110" ca="1">INDEX([1]Projects!$A$1:$F$305,CELL("row",D110),CELL("col",D110))</f>
        <v>0</v>
      </c>
      <c r="E110" s="35" cm="1">
        <f t="array" aca="1" ref="E110" ca="1">INDEX([1]Projects!$A$1:$F$305,CELL("row",E110),CELL("col",E110))</f>
        <v>0</v>
      </c>
      <c r="F110" s="35" cm="1">
        <f t="array" aca="1" ref="F110" ca="1">INDEX([1]Projects!$A$1:$F$305,CELL("row",F110),CELL("col",F110))</f>
        <v>0</v>
      </c>
      <c r="G110" s="19"/>
      <c r="H110" s="19"/>
      <c r="I110" s="19"/>
      <c r="J110" s="19"/>
    </row>
    <row r="111" spans="1:10" x14ac:dyDescent="0.3">
      <c r="A111" s="19"/>
      <c r="B111" s="35" cm="1">
        <f t="array" aca="1" ref="B111" ca="1">INDEX([1]Projects!$A$1:$F$305,CELL("row",B111),CELL("col",B111))</f>
        <v>0</v>
      </c>
      <c r="C111" s="35" cm="1">
        <f t="array" aca="1" ref="C111" ca="1">INDEX([1]Projects!$A$1:$F$305,CELL("row",C111),CELL("col",C111))</f>
        <v>0</v>
      </c>
      <c r="D111" s="35" cm="1">
        <f t="array" aca="1" ref="D111" ca="1">INDEX([1]Projects!$A$1:$F$305,CELL("row",D111),CELL("col",D111))</f>
        <v>0</v>
      </c>
      <c r="E111" s="35" cm="1">
        <f t="array" aca="1" ref="E111" ca="1">INDEX([1]Projects!$A$1:$F$305,CELL("row",E111),CELL("col",E111))</f>
        <v>0</v>
      </c>
      <c r="F111" s="35" cm="1">
        <f t="array" aca="1" ref="F111" ca="1">INDEX([1]Projects!$A$1:$F$305,CELL("row",F111),CELL("col",F111))</f>
        <v>0</v>
      </c>
      <c r="G111" s="19"/>
      <c r="H111" s="19"/>
      <c r="I111" s="19"/>
      <c r="J111" s="19"/>
    </row>
    <row r="112" spans="1:10" x14ac:dyDescent="0.3">
      <c r="A112" s="19"/>
      <c r="B112" s="35" cm="1">
        <f t="array" aca="1" ref="B112" ca="1">INDEX([1]Projects!$A$1:$F$305,CELL("row",B112),CELL("col",B112))</f>
        <v>0</v>
      </c>
      <c r="C112" s="35" cm="1">
        <f t="array" aca="1" ref="C112" ca="1">INDEX([1]Projects!$A$1:$F$305,CELL("row",C112),CELL("col",C112))</f>
        <v>0</v>
      </c>
      <c r="D112" s="35" cm="1">
        <f t="array" aca="1" ref="D112" ca="1">INDEX([1]Projects!$A$1:$F$305,CELL("row",D112),CELL("col",D112))</f>
        <v>0</v>
      </c>
      <c r="E112" s="35" cm="1">
        <f t="array" aca="1" ref="E112" ca="1">INDEX([1]Projects!$A$1:$F$305,CELL("row",E112),CELL("col",E112))</f>
        <v>0</v>
      </c>
      <c r="F112" s="35" cm="1">
        <f t="array" aca="1" ref="F112" ca="1">INDEX([1]Projects!$A$1:$F$305,CELL("row",F112),CELL("col",F112))</f>
        <v>0</v>
      </c>
      <c r="G112" s="19"/>
      <c r="H112" s="19"/>
      <c r="I112" s="19"/>
      <c r="J112" s="19"/>
    </row>
    <row r="113" spans="1:10" x14ac:dyDescent="0.3">
      <c r="A113" s="19"/>
      <c r="B113" s="35" cm="1">
        <f t="array" aca="1" ref="B113" ca="1">INDEX([1]Projects!$A$1:$F$305,CELL("row",B113),CELL("col",B113))</f>
        <v>0</v>
      </c>
      <c r="C113" s="35" cm="1">
        <f t="array" aca="1" ref="C113" ca="1">INDEX([1]Projects!$A$1:$F$305,CELL("row",C113),CELL("col",C113))</f>
        <v>0</v>
      </c>
      <c r="D113" s="35" cm="1">
        <f t="array" aca="1" ref="D113" ca="1">INDEX([1]Projects!$A$1:$F$305,CELL("row",D113),CELL("col",D113))</f>
        <v>0</v>
      </c>
      <c r="E113" s="35" cm="1">
        <f t="array" aca="1" ref="E113" ca="1">INDEX([1]Projects!$A$1:$F$305,CELL("row",E113),CELL("col",E113))</f>
        <v>0</v>
      </c>
      <c r="F113" s="35" cm="1">
        <f t="array" aca="1" ref="F113" ca="1">INDEX([1]Projects!$A$1:$F$305,CELL("row",F113),CELL("col",F113))</f>
        <v>0</v>
      </c>
      <c r="G113" s="19"/>
      <c r="H113" s="19"/>
      <c r="I113" s="19"/>
      <c r="J113" s="19"/>
    </row>
    <row r="114" spans="1:10" x14ac:dyDescent="0.3">
      <c r="A114" s="19"/>
      <c r="B114" s="35" cm="1">
        <f t="array" aca="1" ref="B114" ca="1">INDEX([1]Projects!$A$1:$F$305,CELL("row",B114),CELL("col",B114))</f>
        <v>0</v>
      </c>
      <c r="C114" s="35" cm="1">
        <f t="array" aca="1" ref="C114" ca="1">INDEX([1]Projects!$A$1:$F$305,CELL("row",C114),CELL("col",C114))</f>
        <v>0</v>
      </c>
      <c r="D114" s="35" cm="1">
        <f t="array" aca="1" ref="D114" ca="1">INDEX([1]Projects!$A$1:$F$305,CELL("row",D114),CELL("col",D114))</f>
        <v>0</v>
      </c>
      <c r="E114" s="35" cm="1">
        <f t="array" aca="1" ref="E114" ca="1">INDEX([1]Projects!$A$1:$F$305,CELL("row",E114),CELL("col",E114))</f>
        <v>0</v>
      </c>
      <c r="F114" s="35" cm="1">
        <f t="array" aca="1" ref="F114" ca="1">INDEX([1]Projects!$A$1:$F$305,CELL("row",F114),CELL("col",F114))</f>
        <v>0</v>
      </c>
      <c r="G114" s="19"/>
      <c r="H114" s="19"/>
      <c r="I114" s="19"/>
      <c r="J114" s="19"/>
    </row>
    <row r="115" spans="1:10" x14ac:dyDescent="0.3">
      <c r="A115" s="19"/>
      <c r="B115" s="35" cm="1">
        <f t="array" aca="1" ref="B115" ca="1">INDEX([1]Projects!$A$1:$F$305,CELL("row",B115),CELL("col",B115))</f>
        <v>0</v>
      </c>
      <c r="C115" s="35" cm="1">
        <f t="array" aca="1" ref="C115" ca="1">INDEX([1]Projects!$A$1:$F$305,CELL("row",C115),CELL("col",C115))</f>
        <v>0</v>
      </c>
      <c r="D115" s="35" cm="1">
        <f t="array" aca="1" ref="D115" ca="1">INDEX([1]Projects!$A$1:$F$305,CELL("row",D115),CELL("col",D115))</f>
        <v>0</v>
      </c>
      <c r="E115" s="35" cm="1">
        <f t="array" aca="1" ref="E115" ca="1">INDEX([1]Projects!$A$1:$F$305,CELL("row",E115),CELL("col",E115))</f>
        <v>0</v>
      </c>
      <c r="F115" s="35" cm="1">
        <f t="array" aca="1" ref="F115" ca="1">INDEX([1]Projects!$A$1:$F$305,CELL("row",F115),CELL("col",F115))</f>
        <v>0</v>
      </c>
      <c r="G115" s="19"/>
      <c r="H115" s="19"/>
      <c r="I115" s="19"/>
      <c r="J115" s="19"/>
    </row>
    <row r="116" spans="1:10" x14ac:dyDescent="0.3">
      <c r="A116" s="19"/>
      <c r="B116" s="35" cm="1">
        <f t="array" aca="1" ref="B116" ca="1">INDEX([1]Projects!$A$1:$F$305,CELL("row",B116),CELL("col",B116))</f>
        <v>0</v>
      </c>
      <c r="C116" s="35" cm="1">
        <f t="array" aca="1" ref="C116" ca="1">INDEX([1]Projects!$A$1:$F$305,CELL("row",C116),CELL("col",C116))</f>
        <v>0</v>
      </c>
      <c r="D116" s="35" cm="1">
        <f t="array" aca="1" ref="D116" ca="1">INDEX([1]Projects!$A$1:$F$305,CELL("row",D116),CELL("col",D116))</f>
        <v>0</v>
      </c>
      <c r="E116" s="35" cm="1">
        <f t="array" aca="1" ref="E116" ca="1">INDEX([1]Projects!$A$1:$F$305,CELL("row",E116),CELL("col",E116))</f>
        <v>0</v>
      </c>
      <c r="F116" s="35" cm="1">
        <f t="array" aca="1" ref="F116" ca="1">INDEX([1]Projects!$A$1:$F$305,CELL("row",F116),CELL("col",F116))</f>
        <v>0</v>
      </c>
      <c r="G116" s="19"/>
      <c r="H116" s="19"/>
      <c r="I116" s="19"/>
      <c r="J116" s="19"/>
    </row>
    <row r="117" spans="1:10" x14ac:dyDescent="0.3">
      <c r="A117" s="19"/>
      <c r="B117" s="35" cm="1">
        <f t="array" aca="1" ref="B117" ca="1">INDEX([1]Projects!$A$1:$F$305,CELL("row",B117),CELL("col",B117))</f>
        <v>0</v>
      </c>
      <c r="C117" s="35" cm="1">
        <f t="array" aca="1" ref="C117" ca="1">INDEX([1]Projects!$A$1:$F$305,CELL("row",C117),CELL("col",C117))</f>
        <v>0</v>
      </c>
      <c r="D117" s="35" cm="1">
        <f t="array" aca="1" ref="D117" ca="1">INDEX([1]Projects!$A$1:$F$305,CELL("row",D117),CELL("col",D117))</f>
        <v>0</v>
      </c>
      <c r="E117" s="35" cm="1">
        <f t="array" aca="1" ref="E117" ca="1">INDEX([1]Projects!$A$1:$F$305,CELL("row",E117),CELL("col",E117))</f>
        <v>0</v>
      </c>
      <c r="F117" s="35" cm="1">
        <f t="array" aca="1" ref="F117" ca="1">INDEX([1]Projects!$A$1:$F$305,CELL("row",F117),CELL("col",F117))</f>
        <v>0</v>
      </c>
      <c r="G117" s="19"/>
      <c r="H117" s="19"/>
      <c r="I117" s="19"/>
      <c r="J117" s="19"/>
    </row>
    <row r="118" spans="1:10" x14ac:dyDescent="0.3">
      <c r="A118" s="19"/>
      <c r="B118" s="35" cm="1">
        <f t="array" aca="1" ref="B118" ca="1">INDEX([1]Projects!$A$1:$F$305,CELL("row",B118),CELL("col",B118))</f>
        <v>0</v>
      </c>
      <c r="C118" s="35" cm="1">
        <f t="array" aca="1" ref="C118" ca="1">INDEX([1]Projects!$A$1:$F$305,CELL("row",C118),CELL("col",C118))</f>
        <v>0</v>
      </c>
      <c r="D118" s="35" cm="1">
        <f t="array" aca="1" ref="D118" ca="1">INDEX([1]Projects!$A$1:$F$305,CELL("row",D118),CELL("col",D118))</f>
        <v>0</v>
      </c>
      <c r="E118" s="35" cm="1">
        <f t="array" aca="1" ref="E118" ca="1">INDEX([1]Projects!$A$1:$F$305,CELL("row",E118),CELL("col",E118))</f>
        <v>0</v>
      </c>
      <c r="F118" s="35" cm="1">
        <f t="array" aca="1" ref="F118" ca="1">INDEX([1]Projects!$A$1:$F$305,CELL("row",F118),CELL("col",F118))</f>
        <v>0</v>
      </c>
      <c r="G118" s="19"/>
      <c r="H118" s="19"/>
      <c r="I118" s="19"/>
      <c r="J118" s="19"/>
    </row>
    <row r="119" spans="1:10" x14ac:dyDescent="0.3">
      <c r="A119" s="19"/>
      <c r="B119" s="35" cm="1">
        <f t="array" aca="1" ref="B119" ca="1">INDEX([1]Projects!$A$1:$F$305,CELL("row",B119),CELL("col",B119))</f>
        <v>0</v>
      </c>
      <c r="C119" s="35" cm="1">
        <f t="array" aca="1" ref="C119" ca="1">INDEX([1]Projects!$A$1:$F$305,CELL("row",C119),CELL("col",C119))</f>
        <v>0</v>
      </c>
      <c r="D119" s="35" cm="1">
        <f t="array" aca="1" ref="D119" ca="1">INDEX([1]Projects!$A$1:$F$305,CELL("row",D119),CELL("col",D119))</f>
        <v>0</v>
      </c>
      <c r="E119" s="35" cm="1">
        <f t="array" aca="1" ref="E119" ca="1">INDEX([1]Projects!$A$1:$F$305,CELL("row",E119),CELL("col",E119))</f>
        <v>0</v>
      </c>
      <c r="F119" s="35" cm="1">
        <f t="array" aca="1" ref="F119" ca="1">INDEX([1]Projects!$A$1:$F$305,CELL("row",F119),CELL("col",F119))</f>
        <v>0</v>
      </c>
      <c r="G119" s="19"/>
      <c r="H119" s="19"/>
      <c r="I119" s="19"/>
      <c r="J119" s="19"/>
    </row>
    <row r="120" spans="1:10" x14ac:dyDescent="0.3">
      <c r="A120" s="19"/>
      <c r="B120" s="35" cm="1">
        <f t="array" aca="1" ref="B120" ca="1">INDEX([1]Projects!$A$1:$F$305,CELL("row",B120),CELL("col",B120))</f>
        <v>0</v>
      </c>
      <c r="C120" s="35" cm="1">
        <f t="array" aca="1" ref="C120" ca="1">INDEX([1]Projects!$A$1:$F$305,CELL("row",C120),CELL("col",C120))</f>
        <v>0</v>
      </c>
      <c r="D120" s="35" cm="1">
        <f t="array" aca="1" ref="D120" ca="1">INDEX([1]Projects!$A$1:$F$305,CELL("row",D120),CELL("col",D120))</f>
        <v>0</v>
      </c>
      <c r="E120" s="35" cm="1">
        <f t="array" aca="1" ref="E120" ca="1">INDEX([1]Projects!$A$1:$F$305,CELL("row",E120),CELL("col",E120))</f>
        <v>0</v>
      </c>
      <c r="F120" s="35" cm="1">
        <f t="array" aca="1" ref="F120" ca="1">INDEX([1]Projects!$A$1:$F$305,CELL("row",F120),CELL("col",F120))</f>
        <v>0</v>
      </c>
      <c r="G120" s="19"/>
      <c r="H120" s="19"/>
      <c r="I120" s="19"/>
      <c r="J120" s="19"/>
    </row>
    <row r="121" spans="1:10" x14ac:dyDescent="0.3">
      <c r="A121" s="19"/>
      <c r="B121" s="35" cm="1">
        <f t="array" aca="1" ref="B121" ca="1">INDEX([1]Projects!$A$1:$F$305,CELL("row",B121),CELL("col",B121))</f>
        <v>0</v>
      </c>
      <c r="C121" s="35" cm="1">
        <f t="array" aca="1" ref="C121" ca="1">INDEX([1]Projects!$A$1:$F$305,CELL("row",C121),CELL("col",C121))</f>
        <v>0</v>
      </c>
      <c r="D121" s="35" cm="1">
        <f t="array" aca="1" ref="D121" ca="1">INDEX([1]Projects!$A$1:$F$305,CELL("row",D121),CELL("col",D121))</f>
        <v>0</v>
      </c>
      <c r="E121" s="35" cm="1">
        <f t="array" aca="1" ref="E121" ca="1">INDEX([1]Projects!$A$1:$F$305,CELL("row",E121),CELL("col",E121))</f>
        <v>0</v>
      </c>
      <c r="F121" s="35" cm="1">
        <f t="array" aca="1" ref="F121" ca="1">INDEX([1]Projects!$A$1:$F$305,CELL("row",F121),CELL("col",F121))</f>
        <v>0</v>
      </c>
      <c r="G121" s="19"/>
      <c r="H121" s="19"/>
      <c r="I121" s="19"/>
      <c r="J121" s="19"/>
    </row>
    <row r="122" spans="1:10" x14ac:dyDescent="0.3">
      <c r="A122" s="19"/>
      <c r="B122" s="35" cm="1">
        <f t="array" aca="1" ref="B122" ca="1">INDEX([1]Projects!$A$1:$F$305,CELL("row",B122),CELL("col",B122))</f>
        <v>0</v>
      </c>
      <c r="C122" s="35" cm="1">
        <f t="array" aca="1" ref="C122" ca="1">INDEX([1]Projects!$A$1:$F$305,CELL("row",C122),CELL("col",C122))</f>
        <v>0</v>
      </c>
      <c r="D122" s="35" cm="1">
        <f t="array" aca="1" ref="D122" ca="1">INDEX([1]Projects!$A$1:$F$305,CELL("row",D122),CELL("col",D122))</f>
        <v>0</v>
      </c>
      <c r="E122" s="35" cm="1">
        <f t="array" aca="1" ref="E122" ca="1">INDEX([1]Projects!$A$1:$F$305,CELL("row",E122),CELL("col",E122))</f>
        <v>0</v>
      </c>
      <c r="F122" s="35" cm="1">
        <f t="array" aca="1" ref="F122" ca="1">INDEX([1]Projects!$A$1:$F$305,CELL("row",F122),CELL("col",F122))</f>
        <v>0</v>
      </c>
      <c r="G122" s="19"/>
      <c r="H122" s="19"/>
      <c r="I122" s="19"/>
      <c r="J122" s="19"/>
    </row>
    <row r="123" spans="1:10" x14ac:dyDescent="0.3">
      <c r="A123" s="19"/>
      <c r="B123" s="35" cm="1">
        <f t="array" aca="1" ref="B123" ca="1">INDEX([1]Projects!$A$1:$F$305,CELL("row",B123),CELL("col",B123))</f>
        <v>0</v>
      </c>
      <c r="C123" s="35" cm="1">
        <f t="array" aca="1" ref="C123" ca="1">INDEX([1]Projects!$A$1:$F$305,CELL("row",C123),CELL("col",C123))</f>
        <v>0</v>
      </c>
      <c r="D123" s="35" cm="1">
        <f t="array" aca="1" ref="D123" ca="1">INDEX([1]Projects!$A$1:$F$305,CELL("row",D123),CELL("col",D123))</f>
        <v>0</v>
      </c>
      <c r="E123" s="35" cm="1">
        <f t="array" aca="1" ref="E123" ca="1">INDEX([1]Projects!$A$1:$F$305,CELL("row",E123),CELL("col",E123))</f>
        <v>0</v>
      </c>
      <c r="F123" s="35" cm="1">
        <f t="array" aca="1" ref="F123" ca="1">INDEX([1]Projects!$A$1:$F$305,CELL("row",F123),CELL("col",F123))</f>
        <v>0</v>
      </c>
      <c r="G123" s="19"/>
      <c r="H123" s="19"/>
      <c r="I123" s="19"/>
      <c r="J123" s="19"/>
    </row>
    <row r="124" spans="1:10" x14ac:dyDescent="0.3">
      <c r="A124" s="19"/>
      <c r="B124" s="35" cm="1">
        <f t="array" aca="1" ref="B124" ca="1">INDEX([1]Projects!$A$1:$F$305,CELL("row",B124),CELL("col",B124))</f>
        <v>0</v>
      </c>
      <c r="C124" s="35" cm="1">
        <f t="array" aca="1" ref="C124" ca="1">INDEX([1]Projects!$A$1:$F$305,CELL("row",C124),CELL("col",C124))</f>
        <v>0</v>
      </c>
      <c r="D124" s="35" cm="1">
        <f t="array" aca="1" ref="D124" ca="1">INDEX([1]Projects!$A$1:$F$305,CELL("row",D124),CELL("col",D124))</f>
        <v>0</v>
      </c>
      <c r="E124" s="35" cm="1">
        <f t="array" aca="1" ref="E124" ca="1">INDEX([1]Projects!$A$1:$F$305,CELL("row",E124),CELL("col",E124))</f>
        <v>0</v>
      </c>
      <c r="F124" s="35" cm="1">
        <f t="array" aca="1" ref="F124" ca="1">INDEX([1]Projects!$A$1:$F$305,CELL("row",F124),CELL("col",F124))</f>
        <v>0</v>
      </c>
      <c r="G124" s="19"/>
      <c r="H124" s="19"/>
      <c r="I124" s="19"/>
      <c r="J124" s="19"/>
    </row>
    <row r="125" spans="1:10" x14ac:dyDescent="0.3">
      <c r="A125" s="19"/>
      <c r="B125" s="35" cm="1">
        <f t="array" aca="1" ref="B125" ca="1">INDEX([1]Projects!$A$1:$F$305,CELL("row",B125),CELL("col",B125))</f>
        <v>0</v>
      </c>
      <c r="C125" s="35" cm="1">
        <f t="array" aca="1" ref="C125" ca="1">INDEX([1]Projects!$A$1:$F$305,CELL("row",C125),CELL("col",C125))</f>
        <v>0</v>
      </c>
      <c r="D125" s="35" cm="1">
        <f t="array" aca="1" ref="D125" ca="1">INDEX([1]Projects!$A$1:$F$305,CELL("row",D125),CELL("col",D125))</f>
        <v>0</v>
      </c>
      <c r="E125" s="35" cm="1">
        <f t="array" aca="1" ref="E125" ca="1">INDEX([1]Projects!$A$1:$F$305,CELL("row",E125),CELL("col",E125))</f>
        <v>0</v>
      </c>
      <c r="F125" s="35" cm="1">
        <f t="array" aca="1" ref="F125" ca="1">INDEX([1]Projects!$A$1:$F$305,CELL("row",F125),CELL("col",F125))</f>
        <v>0</v>
      </c>
      <c r="G125" s="19"/>
      <c r="H125" s="19"/>
      <c r="I125" s="19"/>
      <c r="J125" s="19"/>
    </row>
    <row r="126" spans="1:10" x14ac:dyDescent="0.3">
      <c r="A126" s="19"/>
      <c r="B126" s="35" cm="1">
        <f t="array" aca="1" ref="B126" ca="1">INDEX([1]Projects!$A$1:$F$305,CELL("row",B126),CELL("col",B126))</f>
        <v>0</v>
      </c>
      <c r="C126" s="35" cm="1">
        <f t="array" aca="1" ref="C126" ca="1">INDEX([1]Projects!$A$1:$F$305,CELL("row",C126),CELL("col",C126))</f>
        <v>0</v>
      </c>
      <c r="D126" s="35" cm="1">
        <f t="array" aca="1" ref="D126" ca="1">INDEX([1]Projects!$A$1:$F$305,CELL("row",D126),CELL("col",D126))</f>
        <v>0</v>
      </c>
      <c r="E126" s="35" cm="1">
        <f t="array" aca="1" ref="E126" ca="1">INDEX([1]Projects!$A$1:$F$305,CELL("row",E126),CELL("col",E126))</f>
        <v>0</v>
      </c>
      <c r="F126" s="35" cm="1">
        <f t="array" aca="1" ref="F126" ca="1">INDEX([1]Projects!$A$1:$F$305,CELL("row",F126),CELL("col",F126))</f>
        <v>0</v>
      </c>
      <c r="G126" s="19"/>
      <c r="H126" s="19"/>
      <c r="I126" s="19"/>
      <c r="J126" s="19"/>
    </row>
    <row r="127" spans="1:10" x14ac:dyDescent="0.3">
      <c r="A127" s="19"/>
      <c r="B127" s="35" cm="1">
        <f t="array" aca="1" ref="B127" ca="1">INDEX([1]Projects!$A$1:$F$305,CELL("row",B127),CELL("col",B127))</f>
        <v>0</v>
      </c>
      <c r="C127" s="35" cm="1">
        <f t="array" aca="1" ref="C127" ca="1">INDEX([1]Projects!$A$1:$F$305,CELL("row",C127),CELL("col",C127))</f>
        <v>0</v>
      </c>
      <c r="D127" s="35" cm="1">
        <f t="array" aca="1" ref="D127" ca="1">INDEX([1]Projects!$A$1:$F$305,CELL("row",D127),CELL("col",D127))</f>
        <v>0</v>
      </c>
      <c r="E127" s="35" cm="1">
        <f t="array" aca="1" ref="E127" ca="1">INDEX([1]Projects!$A$1:$F$305,CELL("row",E127),CELL("col",E127))</f>
        <v>0</v>
      </c>
      <c r="F127" s="35" cm="1">
        <f t="array" aca="1" ref="F127" ca="1">INDEX([1]Projects!$A$1:$F$305,CELL("row",F127),CELL("col",F127))</f>
        <v>0</v>
      </c>
      <c r="G127" s="19"/>
      <c r="H127" s="19"/>
      <c r="I127" s="19"/>
      <c r="J127" s="19"/>
    </row>
    <row r="128" spans="1:10" x14ac:dyDescent="0.3">
      <c r="A128" s="19"/>
      <c r="B128" s="35" cm="1">
        <f t="array" aca="1" ref="B128" ca="1">INDEX([1]Projects!$A$1:$F$305,CELL("row",B128),CELL("col",B128))</f>
        <v>0</v>
      </c>
      <c r="C128" s="35" cm="1">
        <f t="array" aca="1" ref="C128" ca="1">INDEX([1]Projects!$A$1:$F$305,CELL("row",C128),CELL("col",C128))</f>
        <v>0</v>
      </c>
      <c r="D128" s="35" cm="1">
        <f t="array" aca="1" ref="D128" ca="1">INDEX([1]Projects!$A$1:$F$305,CELL("row",D128),CELL("col",D128))</f>
        <v>0</v>
      </c>
      <c r="E128" s="35" cm="1">
        <f t="array" aca="1" ref="E128" ca="1">INDEX([1]Projects!$A$1:$F$305,CELL("row",E128),CELL("col",E128))</f>
        <v>0</v>
      </c>
      <c r="F128" s="35" cm="1">
        <f t="array" aca="1" ref="F128" ca="1">INDEX([1]Projects!$A$1:$F$305,CELL("row",F128),CELL("col",F128))</f>
        <v>0</v>
      </c>
      <c r="G128" s="19"/>
      <c r="H128" s="19"/>
      <c r="I128" s="19"/>
      <c r="J128" s="19"/>
    </row>
    <row r="129" spans="1:10" x14ac:dyDescent="0.3">
      <c r="A129" s="19"/>
      <c r="B129" s="35" cm="1">
        <f t="array" aca="1" ref="B129" ca="1">INDEX([1]Projects!$A$1:$F$305,CELL("row",B129),CELL("col",B129))</f>
        <v>0</v>
      </c>
      <c r="C129" s="35" cm="1">
        <f t="array" aca="1" ref="C129" ca="1">INDEX([1]Projects!$A$1:$F$305,CELL("row",C129),CELL("col",C129))</f>
        <v>0</v>
      </c>
      <c r="D129" s="35" cm="1">
        <f t="array" aca="1" ref="D129" ca="1">INDEX([1]Projects!$A$1:$F$305,CELL("row",D129),CELL("col",D129))</f>
        <v>0</v>
      </c>
      <c r="E129" s="35" cm="1">
        <f t="array" aca="1" ref="E129" ca="1">INDEX([1]Projects!$A$1:$F$305,CELL("row",E129),CELL("col",E129))</f>
        <v>0</v>
      </c>
      <c r="F129" s="35" cm="1">
        <f t="array" aca="1" ref="F129" ca="1">INDEX([1]Projects!$A$1:$F$305,CELL("row",F129),CELL("col",F129))</f>
        <v>0</v>
      </c>
      <c r="G129" s="19"/>
      <c r="H129" s="19"/>
      <c r="I129" s="19"/>
      <c r="J129" s="19"/>
    </row>
    <row r="130" spans="1:10" x14ac:dyDescent="0.3">
      <c r="A130" s="19"/>
      <c r="B130" s="35" cm="1">
        <f t="array" aca="1" ref="B130" ca="1">INDEX([1]Projects!$A$1:$F$305,CELL("row",B130),CELL("col",B130))</f>
        <v>0</v>
      </c>
      <c r="C130" s="35" cm="1">
        <f t="array" aca="1" ref="C130" ca="1">INDEX([1]Projects!$A$1:$F$305,CELL("row",C130),CELL("col",C130))</f>
        <v>0</v>
      </c>
      <c r="D130" s="35" cm="1">
        <f t="array" aca="1" ref="D130" ca="1">INDEX([1]Projects!$A$1:$F$305,CELL("row",D130),CELL("col",D130))</f>
        <v>0</v>
      </c>
      <c r="E130" s="35" cm="1">
        <f t="array" aca="1" ref="E130" ca="1">INDEX([1]Projects!$A$1:$F$305,CELL("row",E130),CELL("col",E130))</f>
        <v>0</v>
      </c>
      <c r="F130" s="35" cm="1">
        <f t="array" aca="1" ref="F130" ca="1">INDEX([1]Projects!$A$1:$F$305,CELL("row",F130),CELL("col",F130))</f>
        <v>0</v>
      </c>
      <c r="G130" s="19"/>
      <c r="H130" s="19"/>
      <c r="I130" s="19"/>
      <c r="J130" s="19"/>
    </row>
    <row r="131" spans="1:10" x14ac:dyDescent="0.3">
      <c r="A131" s="19"/>
      <c r="B131" s="35" cm="1">
        <f t="array" aca="1" ref="B131" ca="1">INDEX([1]Projects!$A$1:$F$305,CELL("row",B131),CELL("col",B131))</f>
        <v>0</v>
      </c>
      <c r="C131" s="35" cm="1">
        <f t="array" aca="1" ref="C131" ca="1">INDEX([1]Projects!$A$1:$F$305,CELL("row",C131),CELL("col",C131))</f>
        <v>0</v>
      </c>
      <c r="D131" s="35" cm="1">
        <f t="array" aca="1" ref="D131" ca="1">INDEX([1]Projects!$A$1:$F$305,CELL("row",D131),CELL("col",D131))</f>
        <v>0</v>
      </c>
      <c r="E131" s="35" cm="1">
        <f t="array" aca="1" ref="E131" ca="1">INDEX([1]Projects!$A$1:$F$305,CELL("row",E131),CELL("col",E131))</f>
        <v>0</v>
      </c>
      <c r="F131" s="35" cm="1">
        <f t="array" aca="1" ref="F131" ca="1">INDEX([1]Projects!$A$1:$F$305,CELL("row",F131),CELL("col",F131))</f>
        <v>0</v>
      </c>
      <c r="G131" s="19"/>
      <c r="H131" s="19"/>
      <c r="I131" s="19"/>
      <c r="J131" s="19"/>
    </row>
    <row r="132" spans="1:10" x14ac:dyDescent="0.3">
      <c r="A132" s="19"/>
      <c r="B132" s="35" cm="1">
        <f t="array" aca="1" ref="B132" ca="1">INDEX([1]Projects!$A$1:$F$305,CELL("row",B132),CELL("col",B132))</f>
        <v>0</v>
      </c>
      <c r="C132" s="35" cm="1">
        <f t="array" aca="1" ref="C132" ca="1">INDEX([1]Projects!$A$1:$F$305,CELL("row",C132),CELL("col",C132))</f>
        <v>0</v>
      </c>
      <c r="D132" s="35" cm="1">
        <f t="array" aca="1" ref="D132" ca="1">INDEX([1]Projects!$A$1:$F$305,CELL("row",D132),CELL("col",D132))</f>
        <v>0</v>
      </c>
      <c r="E132" s="35" cm="1">
        <f t="array" aca="1" ref="E132" ca="1">INDEX([1]Projects!$A$1:$F$305,CELL("row",E132),CELL("col",E132))</f>
        <v>0</v>
      </c>
      <c r="F132" s="35" cm="1">
        <f t="array" aca="1" ref="F132" ca="1">INDEX([1]Projects!$A$1:$F$305,CELL("row",F132),CELL("col",F132))</f>
        <v>0</v>
      </c>
      <c r="G132" s="19"/>
      <c r="H132" s="19"/>
      <c r="I132" s="19"/>
      <c r="J132" s="19"/>
    </row>
    <row r="133" spans="1:10" x14ac:dyDescent="0.3">
      <c r="A133" s="19"/>
      <c r="B133" s="35" cm="1">
        <f t="array" aca="1" ref="B133" ca="1">INDEX([1]Projects!$A$1:$F$305,CELL("row",B133),CELL("col",B133))</f>
        <v>0</v>
      </c>
      <c r="C133" s="35" cm="1">
        <f t="array" aca="1" ref="C133" ca="1">INDEX([1]Projects!$A$1:$F$305,CELL("row",C133),CELL("col",C133))</f>
        <v>0</v>
      </c>
      <c r="D133" s="35" cm="1">
        <f t="array" aca="1" ref="D133" ca="1">INDEX([1]Projects!$A$1:$F$305,CELL("row",D133),CELL("col",D133))</f>
        <v>0</v>
      </c>
      <c r="E133" s="35" cm="1">
        <f t="array" aca="1" ref="E133" ca="1">INDEX([1]Projects!$A$1:$F$305,CELL("row",E133),CELL("col",E133))</f>
        <v>0</v>
      </c>
      <c r="F133" s="35" cm="1">
        <f t="array" aca="1" ref="F133" ca="1">INDEX([1]Projects!$A$1:$F$305,CELL("row",F133),CELL("col",F133))</f>
        <v>0</v>
      </c>
      <c r="G133" s="19"/>
      <c r="H133" s="19"/>
      <c r="I133" s="19"/>
      <c r="J133" s="19"/>
    </row>
    <row r="134" spans="1:10" x14ac:dyDescent="0.3">
      <c r="A134" s="19"/>
      <c r="B134" s="35" cm="1">
        <f t="array" aca="1" ref="B134" ca="1">INDEX([1]Projects!$A$1:$F$305,CELL("row",B134),CELL("col",B134))</f>
        <v>0</v>
      </c>
      <c r="C134" s="35" cm="1">
        <f t="array" aca="1" ref="C134" ca="1">INDEX([1]Projects!$A$1:$F$305,CELL("row",C134),CELL("col",C134))</f>
        <v>0</v>
      </c>
      <c r="D134" s="35" cm="1">
        <f t="array" aca="1" ref="D134" ca="1">INDEX([1]Projects!$A$1:$F$305,CELL("row",D134),CELL("col",D134))</f>
        <v>0</v>
      </c>
      <c r="E134" s="35" cm="1">
        <f t="array" aca="1" ref="E134" ca="1">INDEX([1]Projects!$A$1:$F$305,CELL("row",E134),CELL("col",E134))</f>
        <v>0</v>
      </c>
      <c r="F134" s="35" cm="1">
        <f t="array" aca="1" ref="F134" ca="1">INDEX([1]Projects!$A$1:$F$305,CELL("row",F134),CELL("col",F134))</f>
        <v>0</v>
      </c>
      <c r="G134" s="19"/>
      <c r="H134" s="19"/>
      <c r="I134" s="19"/>
      <c r="J134" s="19"/>
    </row>
    <row r="135" spans="1:10" x14ac:dyDescent="0.3">
      <c r="A135" s="19"/>
      <c r="B135" s="35" cm="1">
        <f t="array" aca="1" ref="B135" ca="1">INDEX([1]Projects!$A$1:$F$305,CELL("row",B135),CELL("col",B135))</f>
        <v>0</v>
      </c>
      <c r="C135" s="35" cm="1">
        <f t="array" aca="1" ref="C135" ca="1">INDEX([1]Projects!$A$1:$F$305,CELL("row",C135),CELL("col",C135))</f>
        <v>0</v>
      </c>
      <c r="D135" s="35" cm="1">
        <f t="array" aca="1" ref="D135" ca="1">INDEX([1]Projects!$A$1:$F$305,CELL("row",D135),CELL("col",D135))</f>
        <v>0</v>
      </c>
      <c r="E135" s="35" cm="1">
        <f t="array" aca="1" ref="E135" ca="1">INDEX([1]Projects!$A$1:$F$305,CELL("row",E135),CELL("col",E135))</f>
        <v>0</v>
      </c>
      <c r="F135" s="35" cm="1">
        <f t="array" aca="1" ref="F135" ca="1">INDEX([1]Projects!$A$1:$F$305,CELL("row",F135),CELL("col",F135))</f>
        <v>0</v>
      </c>
      <c r="G135" s="19"/>
      <c r="H135" s="19"/>
      <c r="I135" s="19"/>
      <c r="J135" s="19"/>
    </row>
    <row r="136" spans="1:10" x14ac:dyDescent="0.3">
      <c r="A136" s="19"/>
      <c r="B136" s="35" cm="1">
        <f t="array" aca="1" ref="B136" ca="1">INDEX([1]Projects!$A$1:$F$305,CELL("row",B136),CELL("col",B136))</f>
        <v>0</v>
      </c>
      <c r="C136" s="35" cm="1">
        <f t="array" aca="1" ref="C136" ca="1">INDEX([1]Projects!$A$1:$F$305,CELL("row",C136),CELL("col",C136))</f>
        <v>0</v>
      </c>
      <c r="D136" s="35" cm="1">
        <f t="array" aca="1" ref="D136" ca="1">INDEX([1]Projects!$A$1:$F$305,CELL("row",D136),CELL("col",D136))</f>
        <v>0</v>
      </c>
      <c r="E136" s="35" cm="1">
        <f t="array" aca="1" ref="E136" ca="1">INDEX([1]Projects!$A$1:$F$305,CELL("row",E136),CELL("col",E136))</f>
        <v>0</v>
      </c>
      <c r="F136" s="35" cm="1">
        <f t="array" aca="1" ref="F136" ca="1">INDEX([1]Projects!$A$1:$F$305,CELL("row",F136),CELL("col",F136))</f>
        <v>0</v>
      </c>
      <c r="G136" s="19"/>
      <c r="H136" s="19"/>
      <c r="I136" s="19"/>
      <c r="J136" s="19"/>
    </row>
    <row r="137" spans="1:10" x14ac:dyDescent="0.3">
      <c r="A137" s="19"/>
      <c r="B137" s="35" cm="1">
        <f t="array" aca="1" ref="B137" ca="1">INDEX([1]Projects!$A$1:$F$305,CELL("row",B137),CELL("col",B137))</f>
        <v>0</v>
      </c>
      <c r="C137" s="35" cm="1">
        <f t="array" aca="1" ref="C137" ca="1">INDEX([1]Projects!$A$1:$F$305,CELL("row",C137),CELL("col",C137))</f>
        <v>0</v>
      </c>
      <c r="D137" s="35" cm="1">
        <f t="array" aca="1" ref="D137" ca="1">INDEX([1]Projects!$A$1:$F$305,CELL("row",D137),CELL("col",D137))</f>
        <v>0</v>
      </c>
      <c r="E137" s="35" cm="1">
        <f t="array" aca="1" ref="E137" ca="1">INDEX([1]Projects!$A$1:$F$305,CELL("row",E137),CELL("col",E137))</f>
        <v>0</v>
      </c>
      <c r="F137" s="35" cm="1">
        <f t="array" aca="1" ref="F137" ca="1">INDEX([1]Projects!$A$1:$F$305,CELL("row",F137),CELL("col",F137))</f>
        <v>0</v>
      </c>
    </row>
    <row r="138" spans="1:10" x14ac:dyDescent="0.3">
      <c r="A138" s="19"/>
      <c r="B138" s="35" cm="1">
        <f t="array" aca="1" ref="B138" ca="1">INDEX([1]Projects!$A$1:$F$305,CELL("row",B138),CELL("col",B138))</f>
        <v>0</v>
      </c>
      <c r="C138" s="35" cm="1">
        <f t="array" aca="1" ref="C138" ca="1">INDEX([1]Projects!$A$1:$F$305,CELL("row",C138),CELL("col",C138))</f>
        <v>0</v>
      </c>
      <c r="D138" s="35" cm="1">
        <f t="array" aca="1" ref="D138" ca="1">INDEX([1]Projects!$A$1:$F$305,CELL("row",D138),CELL("col",D138))</f>
        <v>0</v>
      </c>
      <c r="E138" s="35" cm="1">
        <f t="array" aca="1" ref="E138" ca="1">INDEX([1]Projects!$A$1:$F$305,CELL("row",E138),CELL("col",E138))</f>
        <v>0</v>
      </c>
      <c r="F138" s="35" cm="1">
        <f t="array" aca="1" ref="F138" ca="1">INDEX([1]Projects!$A$1:$F$305,CELL("row",F138),CELL("col",F138))</f>
        <v>0</v>
      </c>
    </row>
    <row r="139" spans="1:10" x14ac:dyDescent="0.3">
      <c r="A139" s="19"/>
      <c r="B139" s="35" cm="1">
        <f t="array" aca="1" ref="B139" ca="1">INDEX([1]Projects!$A$1:$F$305,CELL("row",B139),CELL("col",B139))</f>
        <v>0</v>
      </c>
      <c r="C139" s="35" cm="1">
        <f t="array" aca="1" ref="C139" ca="1">INDEX([1]Projects!$A$1:$F$305,CELL("row",C139),CELL("col",C139))</f>
        <v>0</v>
      </c>
      <c r="D139" s="35" cm="1">
        <f t="array" aca="1" ref="D139" ca="1">INDEX([1]Projects!$A$1:$F$305,CELL("row",D139),CELL("col",D139))</f>
        <v>0</v>
      </c>
      <c r="E139" s="35" cm="1">
        <f t="array" aca="1" ref="E139" ca="1">INDEX([1]Projects!$A$1:$F$305,CELL("row",E139),CELL("col",E139))</f>
        <v>0</v>
      </c>
      <c r="F139" s="35" cm="1">
        <f t="array" aca="1" ref="F139" ca="1">INDEX([1]Projects!$A$1:$F$305,CELL("row",F139),CELL("col",F139))</f>
        <v>0</v>
      </c>
    </row>
    <row r="140" spans="1:10" x14ac:dyDescent="0.3">
      <c r="A140" s="19"/>
      <c r="B140" s="35" cm="1">
        <f t="array" aca="1" ref="B140" ca="1">INDEX([1]Projects!$A$1:$F$305,CELL("row",B140),CELL("col",B140))</f>
        <v>0</v>
      </c>
      <c r="C140" s="35" cm="1">
        <f t="array" aca="1" ref="C140" ca="1">INDEX([1]Projects!$A$1:$F$305,CELL("row",C140),CELL("col",C140))</f>
        <v>0</v>
      </c>
      <c r="D140" s="35" cm="1">
        <f t="array" aca="1" ref="D140" ca="1">INDEX([1]Projects!$A$1:$F$305,CELL("row",D140),CELL("col",D140))</f>
        <v>0</v>
      </c>
      <c r="E140" s="35" cm="1">
        <f t="array" aca="1" ref="E140" ca="1">INDEX([1]Projects!$A$1:$F$305,CELL("row",E140),CELL("col",E140))</f>
        <v>0</v>
      </c>
      <c r="F140" s="35" cm="1">
        <f t="array" aca="1" ref="F140" ca="1">INDEX([1]Projects!$A$1:$F$305,CELL("row",F140),CELL("col",F140))</f>
        <v>0</v>
      </c>
    </row>
    <row r="141" spans="1:10" x14ac:dyDescent="0.3">
      <c r="A141" s="19"/>
      <c r="B141" s="35" cm="1">
        <f t="array" aca="1" ref="B141" ca="1">INDEX([1]Projects!$A$1:$F$305,CELL("row",B141),CELL("col",B141))</f>
        <v>0</v>
      </c>
      <c r="C141" s="35" cm="1">
        <f t="array" aca="1" ref="C141" ca="1">INDEX([1]Projects!$A$1:$F$305,CELL("row",C141),CELL("col",C141))</f>
        <v>0</v>
      </c>
      <c r="D141" s="35" cm="1">
        <f t="array" aca="1" ref="D141" ca="1">INDEX([1]Projects!$A$1:$F$305,CELL("row",D141),CELL("col",D141))</f>
        <v>0</v>
      </c>
      <c r="E141" s="35" cm="1">
        <f t="array" aca="1" ref="E141" ca="1">INDEX([1]Projects!$A$1:$F$305,CELL("row",E141),CELL("col",E141))</f>
        <v>0</v>
      </c>
      <c r="F141" s="35" cm="1">
        <f t="array" aca="1" ref="F141" ca="1">INDEX([1]Projects!$A$1:$F$305,CELL("row",F141),CELL("col",F141))</f>
        <v>0</v>
      </c>
    </row>
    <row r="142" spans="1:10" x14ac:dyDescent="0.3">
      <c r="A142" s="19"/>
      <c r="B142" s="35" cm="1">
        <f t="array" aca="1" ref="B142" ca="1">INDEX([1]Projects!$A$1:$F$305,CELL("row",B142),CELL("col",B142))</f>
        <v>0</v>
      </c>
      <c r="C142" s="35" cm="1">
        <f t="array" aca="1" ref="C142" ca="1">INDEX([1]Projects!$A$1:$F$305,CELL("row",C142),CELL("col",C142))</f>
        <v>0</v>
      </c>
      <c r="D142" s="35" cm="1">
        <f t="array" aca="1" ref="D142" ca="1">INDEX([1]Projects!$A$1:$F$305,CELL("row",D142),CELL("col",D142))</f>
        <v>0</v>
      </c>
      <c r="E142" s="35" cm="1">
        <f t="array" aca="1" ref="E142" ca="1">INDEX([1]Projects!$A$1:$F$305,CELL("row",E142),CELL("col",E142))</f>
        <v>0</v>
      </c>
      <c r="F142" s="35" cm="1">
        <f t="array" aca="1" ref="F142" ca="1">INDEX([1]Projects!$A$1:$F$305,CELL("row",F142),CELL("col",F142))</f>
        <v>0</v>
      </c>
    </row>
    <row r="143" spans="1:10" x14ac:dyDescent="0.3">
      <c r="A143" s="19"/>
      <c r="B143" s="35" cm="1">
        <f t="array" aca="1" ref="B143" ca="1">INDEX([1]Projects!$A$1:$F$305,CELL("row",B143),CELL("col",B143))</f>
        <v>0</v>
      </c>
      <c r="C143" s="35" cm="1">
        <f t="array" aca="1" ref="C143" ca="1">INDEX([1]Projects!$A$1:$F$305,CELL("row",C143),CELL("col",C143))</f>
        <v>0</v>
      </c>
      <c r="D143" s="35" cm="1">
        <f t="array" aca="1" ref="D143" ca="1">INDEX([1]Projects!$A$1:$F$305,CELL("row",D143),CELL("col",D143))</f>
        <v>0</v>
      </c>
      <c r="E143" s="35" cm="1">
        <f t="array" aca="1" ref="E143" ca="1">INDEX([1]Projects!$A$1:$F$305,CELL("row",E143),CELL("col",E143))</f>
        <v>0</v>
      </c>
      <c r="F143" s="35" cm="1">
        <f t="array" aca="1" ref="F143" ca="1">INDEX([1]Projects!$A$1:$F$305,CELL("row",F143),CELL("col",F143))</f>
        <v>0</v>
      </c>
    </row>
    <row r="144" spans="1:10" x14ac:dyDescent="0.3">
      <c r="A144" s="19"/>
      <c r="B144" s="35" cm="1">
        <f t="array" aca="1" ref="B144" ca="1">INDEX([1]Projects!$A$1:$F$305,CELL("row",B144),CELL("col",B144))</f>
        <v>0</v>
      </c>
      <c r="C144" s="35" cm="1">
        <f t="array" aca="1" ref="C144" ca="1">INDEX([1]Projects!$A$1:$F$305,CELL("row",C144),CELL("col",C144))</f>
        <v>0</v>
      </c>
      <c r="D144" s="35" cm="1">
        <f t="array" aca="1" ref="D144" ca="1">INDEX([1]Projects!$A$1:$F$305,CELL("row",D144),CELL("col",D144))</f>
        <v>0</v>
      </c>
      <c r="E144" s="35" cm="1">
        <f t="array" aca="1" ref="E144" ca="1">INDEX([1]Projects!$A$1:$F$305,CELL("row",E144),CELL("col",E144))</f>
        <v>0</v>
      </c>
      <c r="F144" s="35" cm="1">
        <f t="array" aca="1" ref="F144" ca="1">INDEX([1]Projects!$A$1:$F$305,CELL("row",F144),CELL("col",F144))</f>
        <v>0</v>
      </c>
    </row>
    <row r="145" spans="1:6" x14ac:dyDescent="0.3">
      <c r="A145" s="19"/>
      <c r="B145" s="35" cm="1">
        <f t="array" aca="1" ref="B145" ca="1">INDEX([1]Projects!$A$1:$F$305,CELL("row",B145),CELL("col",B145))</f>
        <v>0</v>
      </c>
      <c r="C145" s="35" cm="1">
        <f t="array" aca="1" ref="C145" ca="1">INDEX([1]Projects!$A$1:$F$305,CELL("row",C145),CELL("col",C145))</f>
        <v>0</v>
      </c>
      <c r="D145" s="35" cm="1">
        <f t="array" aca="1" ref="D145" ca="1">INDEX([1]Projects!$A$1:$F$305,CELL("row",D145),CELL("col",D145))</f>
        <v>0</v>
      </c>
      <c r="E145" s="35" cm="1">
        <f t="array" aca="1" ref="E145" ca="1">INDEX([1]Projects!$A$1:$F$305,CELL("row",E145),CELL("col",E145))</f>
        <v>0</v>
      </c>
      <c r="F145" s="35" cm="1">
        <f t="array" aca="1" ref="F145" ca="1">INDEX([1]Projects!$A$1:$F$305,CELL("row",F145),CELL("col",F145))</f>
        <v>0</v>
      </c>
    </row>
    <row r="146" spans="1:6" x14ac:dyDescent="0.3">
      <c r="A146" s="19"/>
      <c r="B146" s="35" cm="1">
        <f t="array" aca="1" ref="B146" ca="1">INDEX([1]Projects!$A$1:$F$305,CELL("row",B146),CELL("col",B146))</f>
        <v>0</v>
      </c>
      <c r="C146" s="35" cm="1">
        <f t="array" aca="1" ref="C146" ca="1">INDEX([1]Projects!$A$1:$F$305,CELL("row",C146),CELL("col",C146))</f>
        <v>0</v>
      </c>
      <c r="D146" s="35" cm="1">
        <f t="array" aca="1" ref="D146" ca="1">INDEX([1]Projects!$A$1:$F$305,CELL("row",D146),CELL("col",D146))</f>
        <v>0</v>
      </c>
      <c r="E146" s="35" cm="1">
        <f t="array" aca="1" ref="E146" ca="1">INDEX([1]Projects!$A$1:$F$305,CELL("row",E146),CELL("col",E146))</f>
        <v>0</v>
      </c>
      <c r="F146" s="35" cm="1">
        <f t="array" aca="1" ref="F146" ca="1">INDEX([1]Projects!$A$1:$F$305,CELL("row",F146),CELL("col",F146))</f>
        <v>0</v>
      </c>
    </row>
    <row r="147" spans="1:6" x14ac:dyDescent="0.3">
      <c r="A147" s="19"/>
      <c r="B147" s="35" cm="1">
        <f t="array" aca="1" ref="B147" ca="1">INDEX([1]Projects!$A$1:$F$305,CELL("row",B147),CELL("col",B147))</f>
        <v>0</v>
      </c>
      <c r="C147" s="35" cm="1">
        <f t="array" aca="1" ref="C147" ca="1">INDEX([1]Projects!$A$1:$F$305,CELL("row",C147),CELL("col",C147))</f>
        <v>0</v>
      </c>
      <c r="D147" s="35" cm="1">
        <f t="array" aca="1" ref="D147" ca="1">INDEX([1]Projects!$A$1:$F$305,CELL("row",D147),CELL("col",D147))</f>
        <v>0</v>
      </c>
      <c r="E147" s="35" cm="1">
        <f t="array" aca="1" ref="E147" ca="1">INDEX([1]Projects!$A$1:$F$305,CELL("row",E147),CELL("col",E147))</f>
        <v>0</v>
      </c>
      <c r="F147" s="35" cm="1">
        <f t="array" aca="1" ref="F147" ca="1">INDEX([1]Projects!$A$1:$F$305,CELL("row",F147),CELL("col",F147))</f>
        <v>0</v>
      </c>
    </row>
    <row r="148" spans="1:6" x14ac:dyDescent="0.3">
      <c r="A148" s="19"/>
      <c r="B148" s="35" cm="1">
        <f t="array" aca="1" ref="B148" ca="1">INDEX([1]Projects!$A$1:$F$305,CELL("row",B148),CELL("col",B148))</f>
        <v>0</v>
      </c>
      <c r="C148" s="35" cm="1">
        <f t="array" aca="1" ref="C148" ca="1">INDEX([1]Projects!$A$1:$F$305,CELL("row",C148),CELL("col",C148))</f>
        <v>0</v>
      </c>
      <c r="D148" s="35" cm="1">
        <f t="array" aca="1" ref="D148" ca="1">INDEX([1]Projects!$A$1:$F$305,CELL("row",D148),CELL("col",D148))</f>
        <v>0</v>
      </c>
      <c r="E148" s="35" cm="1">
        <f t="array" aca="1" ref="E148" ca="1">INDEX([1]Projects!$A$1:$F$305,CELL("row",E148),CELL("col",E148))</f>
        <v>0</v>
      </c>
      <c r="F148" s="35" cm="1">
        <f t="array" aca="1" ref="F148" ca="1">INDEX([1]Projects!$A$1:$F$305,CELL("row",F148),CELL("col",F148))</f>
        <v>0</v>
      </c>
    </row>
    <row r="149" spans="1:6" x14ac:dyDescent="0.3">
      <c r="A149" s="19"/>
      <c r="B149" s="35" cm="1">
        <f t="array" aca="1" ref="B149" ca="1">INDEX([1]Projects!$A$1:$F$305,CELL("row",B149),CELL("col",B149))</f>
        <v>0</v>
      </c>
      <c r="C149" s="35" cm="1">
        <f t="array" aca="1" ref="C149" ca="1">INDEX([1]Projects!$A$1:$F$305,CELL("row",C149),CELL("col",C149))</f>
        <v>0</v>
      </c>
      <c r="D149" s="35" cm="1">
        <f t="array" aca="1" ref="D149" ca="1">INDEX([1]Projects!$A$1:$F$305,CELL("row",D149),CELL("col",D149))</f>
        <v>0</v>
      </c>
      <c r="E149" s="35" cm="1">
        <f t="array" aca="1" ref="E149" ca="1">INDEX([1]Projects!$A$1:$F$305,CELL("row",E149),CELL("col",E149))</f>
        <v>0</v>
      </c>
      <c r="F149" s="35" cm="1">
        <f t="array" aca="1" ref="F149" ca="1">INDEX([1]Projects!$A$1:$F$305,CELL("row",F149),CELL("col",F149))</f>
        <v>0</v>
      </c>
    </row>
    <row r="150" spans="1:6" x14ac:dyDescent="0.3">
      <c r="A150" s="19"/>
      <c r="B150" s="35" cm="1">
        <f t="array" aca="1" ref="B150" ca="1">INDEX([1]Projects!$A$1:$F$305,CELL("row",B150),CELL("col",B150))</f>
        <v>0</v>
      </c>
      <c r="C150" s="35" cm="1">
        <f t="array" aca="1" ref="C150" ca="1">INDEX([1]Projects!$A$1:$F$305,CELL("row",C150),CELL("col",C150))</f>
        <v>0</v>
      </c>
      <c r="D150" s="35" cm="1">
        <f t="array" aca="1" ref="D150" ca="1">INDEX([1]Projects!$A$1:$F$305,CELL("row",D150),CELL("col",D150))</f>
        <v>0</v>
      </c>
      <c r="E150" s="35" cm="1">
        <f t="array" aca="1" ref="E150" ca="1">INDEX([1]Projects!$A$1:$F$305,CELL("row",E150),CELL("col",E150))</f>
        <v>0</v>
      </c>
      <c r="F150" s="35" cm="1">
        <f t="array" aca="1" ref="F150" ca="1">INDEX([1]Projects!$A$1:$F$305,CELL("row",F150),CELL("col",F150))</f>
        <v>0</v>
      </c>
    </row>
    <row r="151" spans="1:6" x14ac:dyDescent="0.3">
      <c r="A151" s="19"/>
      <c r="B151" s="35" cm="1">
        <f t="array" aca="1" ref="B151" ca="1">INDEX([1]Projects!$A$1:$F$305,CELL("row",B151),CELL("col",B151))</f>
        <v>0</v>
      </c>
      <c r="C151" s="35" cm="1">
        <f t="array" aca="1" ref="C151" ca="1">INDEX([1]Projects!$A$1:$F$305,CELL("row",C151),CELL("col",C151))</f>
        <v>0</v>
      </c>
      <c r="D151" s="35" cm="1">
        <f t="array" aca="1" ref="D151" ca="1">INDEX([1]Projects!$A$1:$F$305,CELL("row",D151),CELL("col",D151))</f>
        <v>0</v>
      </c>
      <c r="E151" s="35" cm="1">
        <f t="array" aca="1" ref="E151" ca="1">INDEX([1]Projects!$A$1:$F$305,CELL("row",E151),CELL("col",E151))</f>
        <v>0</v>
      </c>
      <c r="F151" s="35" cm="1">
        <f t="array" aca="1" ref="F151" ca="1">INDEX([1]Projects!$A$1:$F$305,CELL("row",F151),CELL("col",F151))</f>
        <v>0</v>
      </c>
    </row>
    <row r="152" spans="1:6" x14ac:dyDescent="0.3">
      <c r="A152" s="19"/>
      <c r="B152" s="35" cm="1">
        <f t="array" aca="1" ref="B152" ca="1">INDEX([1]Projects!$A$1:$F$305,CELL("row",B152),CELL("col",B152))</f>
        <v>0</v>
      </c>
      <c r="C152" s="35" cm="1">
        <f t="array" aca="1" ref="C152" ca="1">INDEX([1]Projects!$A$1:$F$305,CELL("row",C152),CELL("col",C152))</f>
        <v>0</v>
      </c>
      <c r="D152" s="35" cm="1">
        <f t="array" aca="1" ref="D152" ca="1">INDEX([1]Projects!$A$1:$F$305,CELL("row",D152),CELL("col",D152))</f>
        <v>0</v>
      </c>
      <c r="E152" s="35" cm="1">
        <f t="array" aca="1" ref="E152" ca="1">INDEX([1]Projects!$A$1:$F$305,CELL("row",E152),CELL("col",E152))</f>
        <v>0</v>
      </c>
      <c r="F152" s="35" cm="1">
        <f t="array" aca="1" ref="F152" ca="1">INDEX([1]Projects!$A$1:$F$305,CELL("row",F152),CELL("col",F152))</f>
        <v>0</v>
      </c>
    </row>
    <row r="153" spans="1:6" x14ac:dyDescent="0.3">
      <c r="A153" s="19"/>
      <c r="B153" s="35" cm="1">
        <f t="array" aca="1" ref="B153" ca="1">INDEX([1]Projects!$A$1:$F$305,CELL("row",B153),CELL("col",B153))</f>
        <v>0</v>
      </c>
      <c r="C153" s="35" cm="1">
        <f t="array" aca="1" ref="C153" ca="1">INDEX([1]Projects!$A$1:$F$305,CELL("row",C153),CELL("col",C153))</f>
        <v>0</v>
      </c>
      <c r="D153" s="35" cm="1">
        <f t="array" aca="1" ref="D153" ca="1">INDEX([1]Projects!$A$1:$F$305,CELL("row",D153),CELL("col",D153))</f>
        <v>0</v>
      </c>
      <c r="E153" s="35" cm="1">
        <f t="array" aca="1" ref="E153" ca="1">INDEX([1]Projects!$A$1:$F$305,CELL("row",E153),CELL("col",E153))</f>
        <v>0</v>
      </c>
      <c r="F153" s="35" cm="1">
        <f t="array" aca="1" ref="F153" ca="1">INDEX([1]Projects!$A$1:$F$305,CELL("row",F153),CELL("col",F153))</f>
        <v>0</v>
      </c>
    </row>
    <row r="154" spans="1:6" x14ac:dyDescent="0.3">
      <c r="A154" s="19"/>
      <c r="B154" s="35" cm="1">
        <f t="array" aca="1" ref="B154" ca="1">INDEX([1]Projects!$A$1:$F$305,CELL("row",B154),CELL("col",B154))</f>
        <v>0</v>
      </c>
      <c r="C154" s="35" cm="1">
        <f t="array" aca="1" ref="C154" ca="1">INDEX([1]Projects!$A$1:$F$305,CELL("row",C154),CELL("col",C154))</f>
        <v>0</v>
      </c>
      <c r="D154" s="35" cm="1">
        <f t="array" aca="1" ref="D154" ca="1">INDEX([1]Projects!$A$1:$F$305,CELL("row",D154),CELL("col",D154))</f>
        <v>0</v>
      </c>
      <c r="E154" s="35" cm="1">
        <f t="array" aca="1" ref="E154" ca="1">INDEX([1]Projects!$A$1:$F$305,CELL("row",E154),CELL("col",E154))</f>
        <v>0</v>
      </c>
      <c r="F154" s="35" cm="1">
        <f t="array" aca="1" ref="F154" ca="1">INDEX([1]Projects!$A$1:$F$305,CELL("row",F154),CELL("col",F154))</f>
        <v>0</v>
      </c>
    </row>
    <row r="155" spans="1:6" x14ac:dyDescent="0.3">
      <c r="A155" s="19"/>
      <c r="B155" s="35" cm="1">
        <f t="array" aca="1" ref="B155" ca="1">INDEX([1]Projects!$A$1:$F$305,CELL("row",B155),CELL("col",B155))</f>
        <v>0</v>
      </c>
      <c r="C155" s="35" cm="1">
        <f t="array" aca="1" ref="C155" ca="1">INDEX([1]Projects!$A$1:$F$305,CELL("row",C155),CELL("col",C155))</f>
        <v>0</v>
      </c>
      <c r="D155" s="35" cm="1">
        <f t="array" aca="1" ref="D155" ca="1">INDEX([1]Projects!$A$1:$F$305,CELL("row",D155),CELL("col",D155))</f>
        <v>0</v>
      </c>
      <c r="E155" s="35" cm="1">
        <f t="array" aca="1" ref="E155" ca="1">INDEX([1]Projects!$A$1:$F$305,CELL("row",E155),CELL("col",E155))</f>
        <v>0</v>
      </c>
      <c r="F155" s="35" cm="1">
        <f t="array" aca="1" ref="F155" ca="1">INDEX([1]Projects!$A$1:$F$305,CELL("row",F155),CELL("col",F155))</f>
        <v>0</v>
      </c>
    </row>
    <row r="156" spans="1:6" x14ac:dyDescent="0.3">
      <c r="A156" s="19"/>
      <c r="B156" s="35" cm="1">
        <f t="array" aca="1" ref="B156" ca="1">INDEX([1]Projects!$A$1:$F$305,CELL("row",B156),CELL("col",B156))</f>
        <v>0</v>
      </c>
      <c r="C156" s="35" cm="1">
        <f t="array" aca="1" ref="C156" ca="1">INDEX([1]Projects!$A$1:$F$305,CELL("row",C156),CELL("col",C156))</f>
        <v>0</v>
      </c>
      <c r="D156" s="35" cm="1">
        <f t="array" aca="1" ref="D156" ca="1">INDEX([1]Projects!$A$1:$F$305,CELL("row",D156),CELL("col",D156))</f>
        <v>0</v>
      </c>
      <c r="E156" s="35" cm="1">
        <f t="array" aca="1" ref="E156" ca="1">INDEX([1]Projects!$A$1:$F$305,CELL("row",E156),CELL("col",E156))</f>
        <v>0</v>
      </c>
      <c r="F156" s="35" cm="1">
        <f t="array" aca="1" ref="F156" ca="1">INDEX([1]Projects!$A$1:$F$305,CELL("row",F156),CELL("col",F156))</f>
        <v>0</v>
      </c>
    </row>
    <row r="157" spans="1:6" x14ac:dyDescent="0.3">
      <c r="A157" s="19"/>
      <c r="B157" s="35" cm="1">
        <f t="array" aca="1" ref="B157" ca="1">INDEX([1]Projects!$A$1:$F$305,CELL("row",B157),CELL("col",B157))</f>
        <v>0</v>
      </c>
      <c r="C157" s="35" cm="1">
        <f t="array" aca="1" ref="C157" ca="1">INDEX([1]Projects!$A$1:$F$305,CELL("row",C157),CELL("col",C157))</f>
        <v>0</v>
      </c>
      <c r="D157" s="35" cm="1">
        <f t="array" aca="1" ref="D157" ca="1">INDEX([1]Projects!$A$1:$F$305,CELL("row",D157),CELL("col",D157))</f>
        <v>0</v>
      </c>
      <c r="E157" s="35" cm="1">
        <f t="array" aca="1" ref="E157" ca="1">INDEX([1]Projects!$A$1:$F$305,CELL("row",E157),CELL("col",E157))</f>
        <v>0</v>
      </c>
      <c r="F157" s="35" cm="1">
        <f t="array" aca="1" ref="F157" ca="1">INDEX([1]Projects!$A$1:$F$305,CELL("row",F157),CELL("col",F157))</f>
        <v>0</v>
      </c>
    </row>
    <row r="158" spans="1:6" x14ac:dyDescent="0.3">
      <c r="A158" s="19"/>
      <c r="B158" s="35" cm="1">
        <f t="array" aca="1" ref="B158" ca="1">INDEX([1]Projects!$A$1:$F$305,CELL("row",B158),CELL("col",B158))</f>
        <v>0</v>
      </c>
      <c r="C158" s="35" cm="1">
        <f t="array" aca="1" ref="C158" ca="1">INDEX([1]Projects!$A$1:$F$305,CELL("row",C158),CELL("col",C158))</f>
        <v>0</v>
      </c>
      <c r="D158" s="35" cm="1">
        <f t="array" aca="1" ref="D158" ca="1">INDEX([1]Projects!$A$1:$F$305,CELL("row",D158),CELL("col",D158))</f>
        <v>0</v>
      </c>
      <c r="E158" s="35" cm="1">
        <f t="array" aca="1" ref="E158" ca="1">INDEX([1]Projects!$A$1:$F$305,CELL("row",E158),CELL("col",E158))</f>
        <v>0</v>
      </c>
      <c r="F158" s="35" cm="1">
        <f t="array" aca="1" ref="F158" ca="1">INDEX([1]Projects!$A$1:$F$305,CELL("row",F158),CELL("col",F158))</f>
        <v>0</v>
      </c>
    </row>
    <row r="159" spans="1:6" x14ac:dyDescent="0.3">
      <c r="A159" s="19"/>
      <c r="B159" s="35" cm="1">
        <f t="array" aca="1" ref="B159" ca="1">INDEX([1]Projects!$A$1:$F$305,CELL("row",B159),CELL("col",B159))</f>
        <v>0</v>
      </c>
      <c r="C159" s="35" cm="1">
        <f t="array" aca="1" ref="C159" ca="1">INDEX([1]Projects!$A$1:$F$305,CELL("row",C159),CELL("col",C159))</f>
        <v>0</v>
      </c>
      <c r="D159" s="35" cm="1">
        <f t="array" aca="1" ref="D159" ca="1">INDEX([1]Projects!$A$1:$F$305,CELL("row",D159),CELL("col",D159))</f>
        <v>0</v>
      </c>
      <c r="E159" s="35" cm="1">
        <f t="array" aca="1" ref="E159" ca="1">INDEX([1]Projects!$A$1:$F$305,CELL("row",E159),CELL("col",E159))</f>
        <v>0</v>
      </c>
      <c r="F159" s="35" cm="1">
        <f t="array" aca="1" ref="F159" ca="1">INDEX([1]Projects!$A$1:$F$305,CELL("row",F159),CELL("col",F159))</f>
        <v>0</v>
      </c>
    </row>
    <row r="160" spans="1:6" x14ac:dyDescent="0.3">
      <c r="A160" s="19"/>
      <c r="B160" s="35" cm="1">
        <f t="array" aca="1" ref="B160" ca="1">INDEX([1]Projects!$A$1:$F$305,CELL("row",B160),CELL("col",B160))</f>
        <v>0</v>
      </c>
      <c r="C160" s="35" cm="1">
        <f t="array" aca="1" ref="C160" ca="1">INDEX([1]Projects!$A$1:$F$305,CELL("row",C160),CELL("col",C160))</f>
        <v>0</v>
      </c>
      <c r="D160" s="35" cm="1">
        <f t="array" aca="1" ref="D160" ca="1">INDEX([1]Projects!$A$1:$F$305,CELL("row",D160),CELL("col",D160))</f>
        <v>0</v>
      </c>
      <c r="E160" s="35" cm="1">
        <f t="array" aca="1" ref="E160" ca="1">INDEX([1]Projects!$A$1:$F$305,CELL("row",E160),CELL("col",E160))</f>
        <v>0</v>
      </c>
      <c r="F160" s="35" cm="1">
        <f t="array" aca="1" ref="F160" ca="1">INDEX([1]Projects!$A$1:$F$305,CELL("row",F160),CELL("col",F160))</f>
        <v>0</v>
      </c>
    </row>
    <row r="161" spans="1:6" x14ac:dyDescent="0.3">
      <c r="A161" s="19"/>
      <c r="B161" s="35" cm="1">
        <f t="array" aca="1" ref="B161" ca="1">INDEX([1]Projects!$A$1:$F$305,CELL("row",B161),CELL("col",B161))</f>
        <v>0</v>
      </c>
      <c r="C161" s="35" cm="1">
        <f t="array" aca="1" ref="C161" ca="1">INDEX([1]Projects!$A$1:$F$305,CELL("row",C161),CELL("col",C161))</f>
        <v>0</v>
      </c>
      <c r="D161" s="35" cm="1">
        <f t="array" aca="1" ref="D161" ca="1">INDEX([1]Projects!$A$1:$F$305,CELL("row",D161),CELL("col",D161))</f>
        <v>0</v>
      </c>
      <c r="E161" s="35" cm="1">
        <f t="array" aca="1" ref="E161" ca="1">INDEX([1]Projects!$A$1:$F$305,CELL("row",E161),CELL("col",E161))</f>
        <v>0</v>
      </c>
      <c r="F161" s="35" cm="1">
        <f t="array" aca="1" ref="F161" ca="1">INDEX([1]Projects!$A$1:$F$305,CELL("row",F161),CELL("col",F161))</f>
        <v>0</v>
      </c>
    </row>
    <row r="162" spans="1:6" x14ac:dyDescent="0.3">
      <c r="A162" s="19"/>
      <c r="B162" s="35" cm="1">
        <f t="array" aca="1" ref="B162" ca="1">INDEX([1]Projects!$A$1:$F$305,CELL("row",B162),CELL("col",B162))</f>
        <v>0</v>
      </c>
      <c r="C162" s="35" cm="1">
        <f t="array" aca="1" ref="C162" ca="1">INDEX([1]Projects!$A$1:$F$305,CELL("row",C162),CELL("col",C162))</f>
        <v>0</v>
      </c>
      <c r="D162" s="35" cm="1">
        <f t="array" aca="1" ref="D162" ca="1">INDEX([1]Projects!$A$1:$F$305,CELL("row",D162),CELL("col",D162))</f>
        <v>0</v>
      </c>
      <c r="E162" s="35" cm="1">
        <f t="array" aca="1" ref="E162" ca="1">INDEX([1]Projects!$A$1:$F$305,CELL("row",E162),CELL("col",E162))</f>
        <v>0</v>
      </c>
      <c r="F162" s="35" cm="1">
        <f t="array" aca="1" ref="F162" ca="1">INDEX([1]Projects!$A$1:$F$305,CELL("row",F162),CELL("col",F162))</f>
        <v>0</v>
      </c>
    </row>
    <row r="163" spans="1:6" x14ac:dyDescent="0.3">
      <c r="A163" s="19"/>
      <c r="B163" s="35" cm="1">
        <f t="array" aca="1" ref="B163" ca="1">INDEX([1]Projects!$A$1:$F$305,CELL("row",B163),CELL("col",B163))</f>
        <v>0</v>
      </c>
      <c r="C163" s="35" cm="1">
        <f t="array" aca="1" ref="C163" ca="1">INDEX([1]Projects!$A$1:$F$305,CELL("row",C163),CELL("col",C163))</f>
        <v>0</v>
      </c>
      <c r="D163" s="35" cm="1">
        <f t="array" aca="1" ref="D163" ca="1">INDEX([1]Projects!$A$1:$F$305,CELL("row",D163),CELL("col",D163))</f>
        <v>0</v>
      </c>
      <c r="E163" s="35" cm="1">
        <f t="array" aca="1" ref="E163" ca="1">INDEX([1]Projects!$A$1:$F$305,CELL("row",E163),CELL("col",E163))</f>
        <v>0</v>
      </c>
      <c r="F163" s="35" cm="1">
        <f t="array" aca="1" ref="F163" ca="1">INDEX([1]Projects!$A$1:$F$305,CELL("row",F163),CELL("col",F163))</f>
        <v>0</v>
      </c>
    </row>
    <row r="164" spans="1:6" x14ac:dyDescent="0.3">
      <c r="A164" s="19"/>
      <c r="B164" s="35" cm="1">
        <f t="array" aca="1" ref="B164" ca="1">INDEX([1]Projects!$A$1:$F$305,CELL("row",B164),CELL("col",B164))</f>
        <v>0</v>
      </c>
      <c r="C164" s="35" cm="1">
        <f t="array" aca="1" ref="C164" ca="1">INDEX([1]Projects!$A$1:$F$305,CELL("row",C164),CELL("col",C164))</f>
        <v>0</v>
      </c>
      <c r="D164" s="35" cm="1">
        <f t="array" aca="1" ref="D164" ca="1">INDEX([1]Projects!$A$1:$F$305,CELL("row",D164),CELL("col",D164))</f>
        <v>0</v>
      </c>
      <c r="E164" s="35" cm="1">
        <f t="array" aca="1" ref="E164" ca="1">INDEX([1]Projects!$A$1:$F$305,CELL("row",E164),CELL("col",E164))</f>
        <v>0</v>
      </c>
      <c r="F164" s="35" cm="1">
        <f t="array" aca="1" ref="F164" ca="1">INDEX([1]Projects!$A$1:$F$305,CELL("row",F164),CELL("col",F164))</f>
        <v>0</v>
      </c>
    </row>
    <row r="165" spans="1:6" x14ac:dyDescent="0.3">
      <c r="A165" s="19"/>
      <c r="B165" s="35" cm="1">
        <f t="array" aca="1" ref="B165" ca="1">INDEX([1]Projects!$A$1:$F$305,CELL("row",B165),CELL("col",B165))</f>
        <v>0</v>
      </c>
      <c r="C165" s="35" cm="1">
        <f t="array" aca="1" ref="C165" ca="1">INDEX([1]Projects!$A$1:$F$305,CELL("row",C165),CELL("col",C165))</f>
        <v>0</v>
      </c>
      <c r="D165" s="35" cm="1">
        <f t="array" aca="1" ref="D165" ca="1">INDEX([1]Projects!$A$1:$F$305,CELL("row",D165),CELL("col",D165))</f>
        <v>0</v>
      </c>
      <c r="E165" s="35" cm="1">
        <f t="array" aca="1" ref="E165" ca="1">INDEX([1]Projects!$A$1:$F$305,CELL("row",E165),CELL("col",E165))</f>
        <v>0</v>
      </c>
      <c r="F165" s="35" cm="1">
        <f t="array" aca="1" ref="F165" ca="1">INDEX([1]Projects!$A$1:$F$305,CELL("row",F165),CELL("col",F165))</f>
        <v>0</v>
      </c>
    </row>
    <row r="166" spans="1:6" x14ac:dyDescent="0.3">
      <c r="A166" s="19"/>
      <c r="B166" s="35" cm="1">
        <f t="array" aca="1" ref="B166" ca="1">INDEX([1]Projects!$A$1:$F$305,CELL("row",B166),CELL("col",B166))</f>
        <v>0</v>
      </c>
      <c r="C166" s="35" cm="1">
        <f t="array" aca="1" ref="C166" ca="1">INDEX([1]Projects!$A$1:$F$305,CELL("row",C166),CELL("col",C166))</f>
        <v>0</v>
      </c>
      <c r="D166" s="35" cm="1">
        <f t="array" aca="1" ref="D166" ca="1">INDEX([1]Projects!$A$1:$F$305,CELL("row",D166),CELL("col",D166))</f>
        <v>0</v>
      </c>
      <c r="E166" s="35" cm="1">
        <f t="array" aca="1" ref="E166" ca="1">INDEX([1]Projects!$A$1:$F$305,CELL("row",E166),CELL("col",E166))</f>
        <v>0</v>
      </c>
      <c r="F166" s="35" cm="1">
        <f t="array" aca="1" ref="F166" ca="1">INDEX([1]Projects!$A$1:$F$305,CELL("row",F166),CELL("col",F166))</f>
        <v>0</v>
      </c>
    </row>
    <row r="167" spans="1:6" x14ac:dyDescent="0.3">
      <c r="A167" s="19"/>
      <c r="B167" s="35" cm="1">
        <f t="array" aca="1" ref="B167" ca="1">INDEX([1]Projects!$A$1:$F$305,CELL("row",B167),CELL("col",B167))</f>
        <v>0</v>
      </c>
      <c r="C167" s="35" cm="1">
        <f t="array" aca="1" ref="C167" ca="1">INDEX([1]Projects!$A$1:$F$305,CELL("row",C167),CELL("col",C167))</f>
        <v>0</v>
      </c>
      <c r="D167" s="35" cm="1">
        <f t="array" aca="1" ref="D167" ca="1">INDEX([1]Projects!$A$1:$F$305,CELL("row",D167),CELL("col",D167))</f>
        <v>0</v>
      </c>
      <c r="E167" s="35" cm="1">
        <f t="array" aca="1" ref="E167" ca="1">INDEX([1]Projects!$A$1:$F$305,CELL("row",E167),CELL("col",E167))</f>
        <v>0</v>
      </c>
      <c r="F167" s="35" cm="1">
        <f t="array" aca="1" ref="F167" ca="1">INDEX([1]Projects!$A$1:$F$305,CELL("row",F167),CELL("col",F167))</f>
        <v>0</v>
      </c>
    </row>
    <row r="168" spans="1:6" x14ac:dyDescent="0.3">
      <c r="A168" s="19"/>
      <c r="B168" s="35" cm="1">
        <f t="array" aca="1" ref="B168" ca="1">INDEX([1]Projects!$A$1:$F$305,CELL("row",B168),CELL("col",B168))</f>
        <v>0</v>
      </c>
      <c r="C168" s="35" cm="1">
        <f t="array" aca="1" ref="C168" ca="1">INDEX([1]Projects!$A$1:$F$305,CELL("row",C168),CELL("col",C168))</f>
        <v>0</v>
      </c>
      <c r="D168" s="35" cm="1">
        <f t="array" aca="1" ref="D168" ca="1">INDEX([1]Projects!$A$1:$F$305,CELL("row",D168),CELL("col",D168))</f>
        <v>0</v>
      </c>
      <c r="E168" s="35" cm="1">
        <f t="array" aca="1" ref="E168" ca="1">INDEX([1]Projects!$A$1:$F$305,CELL("row",E168),CELL("col",E168))</f>
        <v>0</v>
      </c>
      <c r="F168" s="35" cm="1">
        <f t="array" aca="1" ref="F168" ca="1">INDEX([1]Projects!$A$1:$F$305,CELL("row",F168),CELL("col",F168))</f>
        <v>0</v>
      </c>
    </row>
    <row r="169" spans="1:6" x14ac:dyDescent="0.3">
      <c r="A169" s="19"/>
      <c r="B169" s="35" cm="1">
        <f t="array" aca="1" ref="B169" ca="1">INDEX([1]Projects!$A$1:$F$305,CELL("row",B169),CELL("col",B169))</f>
        <v>0</v>
      </c>
      <c r="C169" s="35" cm="1">
        <f t="array" aca="1" ref="C169" ca="1">INDEX([1]Projects!$A$1:$F$305,CELL("row",C169),CELL("col",C169))</f>
        <v>0</v>
      </c>
      <c r="D169" s="35" cm="1">
        <f t="array" aca="1" ref="D169" ca="1">INDEX([1]Projects!$A$1:$F$305,CELL("row",D169),CELL("col",D169))</f>
        <v>0</v>
      </c>
      <c r="E169" s="35" cm="1">
        <f t="array" aca="1" ref="E169" ca="1">INDEX([1]Projects!$A$1:$F$305,CELL("row",E169),CELL("col",E169))</f>
        <v>0</v>
      </c>
      <c r="F169" s="35" cm="1">
        <f t="array" aca="1" ref="F169" ca="1">INDEX([1]Projects!$A$1:$F$305,CELL("row",F169),CELL("col",F169))</f>
        <v>0</v>
      </c>
    </row>
    <row r="170" spans="1:6" x14ac:dyDescent="0.3">
      <c r="A170" s="19"/>
      <c r="B170" s="35" cm="1">
        <f t="array" aca="1" ref="B170" ca="1">INDEX([1]Projects!$A$1:$F$305,CELL("row",B170),CELL("col",B170))</f>
        <v>0</v>
      </c>
      <c r="C170" s="35" cm="1">
        <f t="array" aca="1" ref="C170" ca="1">INDEX([1]Projects!$A$1:$F$305,CELL("row",C170),CELL("col",C170))</f>
        <v>0</v>
      </c>
      <c r="D170" s="35" cm="1">
        <f t="array" aca="1" ref="D170" ca="1">INDEX([1]Projects!$A$1:$F$305,CELL("row",D170),CELL("col",D170))</f>
        <v>0</v>
      </c>
      <c r="E170" s="35" cm="1">
        <f t="array" aca="1" ref="E170" ca="1">INDEX([1]Projects!$A$1:$F$305,CELL("row",E170),CELL("col",E170))</f>
        <v>0</v>
      </c>
      <c r="F170" s="35" cm="1">
        <f t="array" aca="1" ref="F170" ca="1">INDEX([1]Projects!$A$1:$F$305,CELL("row",F170),CELL("col",F170))</f>
        <v>0</v>
      </c>
    </row>
    <row r="171" spans="1:6" x14ac:dyDescent="0.3">
      <c r="A171" s="19"/>
      <c r="B171" s="35" cm="1">
        <f t="array" aca="1" ref="B171" ca="1">INDEX([1]Projects!$A$1:$F$305,CELL("row",B171),CELL("col",B171))</f>
        <v>0</v>
      </c>
      <c r="C171" s="35" cm="1">
        <f t="array" aca="1" ref="C171" ca="1">INDEX([1]Projects!$A$1:$F$305,CELL("row",C171),CELL("col",C171))</f>
        <v>0</v>
      </c>
      <c r="D171" s="35" cm="1">
        <f t="array" aca="1" ref="D171" ca="1">INDEX([1]Projects!$A$1:$F$305,CELL("row",D171),CELL("col",D171))</f>
        <v>0</v>
      </c>
      <c r="E171" s="35" cm="1">
        <f t="array" aca="1" ref="E171" ca="1">INDEX([1]Projects!$A$1:$F$305,CELL("row",E171),CELL("col",E171))</f>
        <v>0</v>
      </c>
      <c r="F171" s="35" cm="1">
        <f t="array" aca="1" ref="F171" ca="1">INDEX([1]Projects!$A$1:$F$305,CELL("row",F171),CELL("col",F171))</f>
        <v>0</v>
      </c>
    </row>
    <row r="172" spans="1:6" x14ac:dyDescent="0.3">
      <c r="A172" s="19"/>
      <c r="B172" s="35" cm="1">
        <f t="array" aca="1" ref="B172" ca="1">INDEX([1]Projects!$A$1:$F$305,CELL("row",B172),CELL("col",B172))</f>
        <v>0</v>
      </c>
      <c r="C172" s="35" cm="1">
        <f t="array" aca="1" ref="C172" ca="1">INDEX([1]Projects!$A$1:$F$305,CELL("row",C172),CELL("col",C172))</f>
        <v>0</v>
      </c>
      <c r="D172" s="35" cm="1">
        <f t="array" aca="1" ref="D172" ca="1">INDEX([1]Projects!$A$1:$F$305,CELL("row",D172),CELL("col",D172))</f>
        <v>0</v>
      </c>
      <c r="E172" s="35" cm="1">
        <f t="array" aca="1" ref="E172" ca="1">INDEX([1]Projects!$A$1:$F$305,CELL("row",E172),CELL("col",E172))</f>
        <v>0</v>
      </c>
      <c r="F172" s="35" cm="1">
        <f t="array" aca="1" ref="F172" ca="1">INDEX([1]Projects!$A$1:$F$305,CELL("row",F172),CELL("col",F172))</f>
        <v>0</v>
      </c>
    </row>
    <row r="173" spans="1:6" x14ac:dyDescent="0.3">
      <c r="A173" s="19"/>
      <c r="B173" s="35" cm="1">
        <f t="array" aca="1" ref="B173" ca="1">INDEX([1]Projects!$A$1:$F$305,CELL("row",B173),CELL("col",B173))</f>
        <v>0</v>
      </c>
      <c r="C173" s="35" cm="1">
        <f t="array" aca="1" ref="C173" ca="1">INDEX([1]Projects!$A$1:$F$305,CELL("row",C173),CELL("col",C173))</f>
        <v>0</v>
      </c>
      <c r="D173" s="35" cm="1">
        <f t="array" aca="1" ref="D173" ca="1">INDEX([1]Projects!$A$1:$F$305,CELL("row",D173),CELL("col",D173))</f>
        <v>0</v>
      </c>
      <c r="E173" s="35" cm="1">
        <f t="array" aca="1" ref="E173" ca="1">INDEX([1]Projects!$A$1:$F$305,CELL("row",E173),CELL("col",E173))</f>
        <v>0</v>
      </c>
      <c r="F173" s="35" cm="1">
        <f t="array" aca="1" ref="F173" ca="1">INDEX([1]Projects!$A$1:$F$305,CELL("row",F173),CELL("col",F173))</f>
        <v>0</v>
      </c>
    </row>
    <row r="174" spans="1:6" x14ac:dyDescent="0.3">
      <c r="A174" s="19"/>
      <c r="B174" s="35" cm="1">
        <f t="array" aca="1" ref="B174" ca="1">INDEX([1]Projects!$A$1:$F$305,CELL("row",B174),CELL("col",B174))</f>
        <v>0</v>
      </c>
      <c r="C174" s="35" cm="1">
        <f t="array" aca="1" ref="C174" ca="1">INDEX([1]Projects!$A$1:$F$305,CELL("row",C174),CELL("col",C174))</f>
        <v>0</v>
      </c>
      <c r="D174" s="35" cm="1">
        <f t="array" aca="1" ref="D174" ca="1">INDEX([1]Projects!$A$1:$F$305,CELL("row",D174),CELL("col",D174))</f>
        <v>0</v>
      </c>
      <c r="E174" s="35" cm="1">
        <f t="array" aca="1" ref="E174" ca="1">INDEX([1]Projects!$A$1:$F$305,CELL("row",E174),CELL("col",E174))</f>
        <v>0</v>
      </c>
      <c r="F174" s="35" cm="1">
        <f t="array" aca="1" ref="F174" ca="1">INDEX([1]Projects!$A$1:$F$305,CELL("row",F174),CELL("col",F174))</f>
        <v>0</v>
      </c>
    </row>
    <row r="175" spans="1:6" x14ac:dyDescent="0.3">
      <c r="A175" s="19"/>
      <c r="B175" s="35" cm="1">
        <f t="array" aca="1" ref="B175" ca="1">INDEX([1]Projects!$A$1:$F$305,CELL("row",B175),CELL("col",B175))</f>
        <v>0</v>
      </c>
      <c r="C175" s="35" cm="1">
        <f t="array" aca="1" ref="C175" ca="1">INDEX([1]Projects!$A$1:$F$305,CELL("row",C175),CELL("col",C175))</f>
        <v>0</v>
      </c>
      <c r="D175" s="35" cm="1">
        <f t="array" aca="1" ref="D175" ca="1">INDEX([1]Projects!$A$1:$F$305,CELL("row",D175),CELL("col",D175))</f>
        <v>0</v>
      </c>
      <c r="E175" s="35" cm="1">
        <f t="array" aca="1" ref="E175" ca="1">INDEX([1]Projects!$A$1:$F$305,CELL("row",E175),CELL("col",E175))</f>
        <v>0</v>
      </c>
      <c r="F175" s="35" cm="1">
        <f t="array" aca="1" ref="F175" ca="1">INDEX([1]Projects!$A$1:$F$305,CELL("row",F175),CELL("col",F175))</f>
        <v>0</v>
      </c>
    </row>
    <row r="176" spans="1:6" x14ac:dyDescent="0.3">
      <c r="A176" s="19"/>
      <c r="B176" s="35" cm="1">
        <f t="array" aca="1" ref="B176" ca="1">INDEX([1]Projects!$A$1:$F$305,CELL("row",B176),CELL("col",B176))</f>
        <v>0</v>
      </c>
      <c r="C176" s="35" cm="1">
        <f t="array" aca="1" ref="C176" ca="1">INDEX([1]Projects!$A$1:$F$305,CELL("row",C176),CELL("col",C176))</f>
        <v>0</v>
      </c>
      <c r="D176" s="35" cm="1">
        <f t="array" aca="1" ref="D176" ca="1">INDEX([1]Projects!$A$1:$F$305,CELL("row",D176),CELL("col",D176))</f>
        <v>0</v>
      </c>
      <c r="E176" s="35" cm="1">
        <f t="array" aca="1" ref="E176" ca="1">INDEX([1]Projects!$A$1:$F$305,CELL("row",E176),CELL("col",E176))</f>
        <v>0</v>
      </c>
      <c r="F176" s="35" cm="1">
        <f t="array" aca="1" ref="F176" ca="1">INDEX([1]Projects!$A$1:$F$305,CELL("row",F176),CELL("col",F176))</f>
        <v>0</v>
      </c>
    </row>
    <row r="177" spans="1:6" x14ac:dyDescent="0.3">
      <c r="A177" s="19"/>
      <c r="B177" s="35" cm="1">
        <f t="array" aca="1" ref="B177" ca="1">INDEX([1]Projects!$A$1:$F$305,CELL("row",B177),CELL("col",B177))</f>
        <v>0</v>
      </c>
      <c r="C177" s="35" cm="1">
        <f t="array" aca="1" ref="C177" ca="1">INDEX([1]Projects!$A$1:$F$305,CELL("row",C177),CELL("col",C177))</f>
        <v>0</v>
      </c>
      <c r="D177" s="35" cm="1">
        <f t="array" aca="1" ref="D177" ca="1">INDEX([1]Projects!$A$1:$F$305,CELL("row",D177),CELL("col",D177))</f>
        <v>0</v>
      </c>
      <c r="E177" s="35" cm="1">
        <f t="array" aca="1" ref="E177" ca="1">INDEX([1]Projects!$A$1:$F$305,CELL("row",E177),CELL("col",E177))</f>
        <v>0</v>
      </c>
      <c r="F177" s="35" cm="1">
        <f t="array" aca="1" ref="F177" ca="1">INDEX([1]Projects!$A$1:$F$305,CELL("row",F177),CELL("col",F177))</f>
        <v>0</v>
      </c>
    </row>
    <row r="178" spans="1:6" x14ac:dyDescent="0.3">
      <c r="A178" s="19"/>
      <c r="B178" s="35" cm="1">
        <f t="array" aca="1" ref="B178" ca="1">INDEX([1]Projects!$A$1:$F$305,CELL("row",B178),CELL("col",B178))</f>
        <v>0</v>
      </c>
      <c r="C178" s="35" cm="1">
        <f t="array" aca="1" ref="C178" ca="1">INDEX([1]Projects!$A$1:$F$305,CELL("row",C178),CELL("col",C178))</f>
        <v>0</v>
      </c>
      <c r="D178" s="35" cm="1">
        <f t="array" aca="1" ref="D178" ca="1">INDEX([1]Projects!$A$1:$F$305,CELL("row",D178),CELL("col",D178))</f>
        <v>0</v>
      </c>
      <c r="E178" s="35" cm="1">
        <f t="array" aca="1" ref="E178" ca="1">INDEX([1]Projects!$A$1:$F$305,CELL("row",E178),CELL("col",E178))</f>
        <v>0</v>
      </c>
      <c r="F178" s="35" cm="1">
        <f t="array" aca="1" ref="F178" ca="1">INDEX([1]Projects!$A$1:$F$305,CELL("row",F178),CELL("col",F178))</f>
        <v>0</v>
      </c>
    </row>
    <row r="179" spans="1:6" x14ac:dyDescent="0.3">
      <c r="A179" s="19"/>
      <c r="B179" s="35" cm="1">
        <f t="array" aca="1" ref="B179" ca="1">INDEX([1]Projects!$A$1:$F$305,CELL("row",B179),CELL("col",B179))</f>
        <v>0</v>
      </c>
      <c r="C179" s="35" cm="1">
        <f t="array" aca="1" ref="C179" ca="1">INDEX([1]Projects!$A$1:$F$305,CELL("row",C179),CELL("col",C179))</f>
        <v>0</v>
      </c>
      <c r="D179" s="35" cm="1">
        <f t="array" aca="1" ref="D179" ca="1">INDEX([1]Projects!$A$1:$F$305,CELL("row",D179),CELL("col",D179))</f>
        <v>0</v>
      </c>
      <c r="E179" s="35" cm="1">
        <f t="array" aca="1" ref="E179" ca="1">INDEX([1]Projects!$A$1:$F$305,CELL("row",E179),CELL("col",E179))</f>
        <v>0</v>
      </c>
      <c r="F179" s="35" cm="1">
        <f t="array" aca="1" ref="F179" ca="1">INDEX([1]Projects!$A$1:$F$305,CELL("row",F179),CELL("col",F179))</f>
        <v>0</v>
      </c>
    </row>
    <row r="180" spans="1:6" x14ac:dyDescent="0.3">
      <c r="A180" s="19"/>
      <c r="B180" s="35" cm="1">
        <f t="array" aca="1" ref="B180" ca="1">INDEX([1]Projects!$A$1:$F$305,CELL("row",B180),CELL("col",B180))</f>
        <v>0</v>
      </c>
      <c r="C180" s="35" cm="1">
        <f t="array" aca="1" ref="C180" ca="1">INDEX([1]Projects!$A$1:$F$305,CELL("row",C180),CELL("col",C180))</f>
        <v>0</v>
      </c>
      <c r="D180" s="35" cm="1">
        <f t="array" aca="1" ref="D180" ca="1">INDEX([1]Projects!$A$1:$F$305,CELL("row",D180),CELL("col",D180))</f>
        <v>0</v>
      </c>
      <c r="E180" s="35" cm="1">
        <f t="array" aca="1" ref="E180" ca="1">INDEX([1]Projects!$A$1:$F$305,CELL("row",E180),CELL("col",E180))</f>
        <v>0</v>
      </c>
      <c r="F180" s="35" cm="1">
        <f t="array" aca="1" ref="F180" ca="1">INDEX([1]Projects!$A$1:$F$305,CELL("row",F180),CELL("col",F180))</f>
        <v>0</v>
      </c>
    </row>
    <row r="181" spans="1:6" x14ac:dyDescent="0.3">
      <c r="A181" s="19"/>
      <c r="B181" s="35" cm="1">
        <f t="array" aca="1" ref="B181" ca="1">INDEX([1]Projects!$A$1:$F$305,CELL("row",B181),CELL("col",B181))</f>
        <v>0</v>
      </c>
      <c r="C181" s="35" cm="1">
        <f t="array" aca="1" ref="C181" ca="1">INDEX([1]Projects!$A$1:$F$305,CELL("row",C181),CELL("col",C181))</f>
        <v>0</v>
      </c>
      <c r="D181" s="35" cm="1">
        <f t="array" aca="1" ref="D181" ca="1">INDEX([1]Projects!$A$1:$F$305,CELL("row",D181),CELL("col",D181))</f>
        <v>0</v>
      </c>
      <c r="E181" s="35" cm="1">
        <f t="array" aca="1" ref="E181" ca="1">INDEX([1]Projects!$A$1:$F$305,CELL("row",E181),CELL("col",E181))</f>
        <v>0</v>
      </c>
      <c r="F181" s="35" cm="1">
        <f t="array" aca="1" ref="F181" ca="1">INDEX([1]Projects!$A$1:$F$305,CELL("row",F181),CELL("col",F181))</f>
        <v>0</v>
      </c>
    </row>
    <row r="182" spans="1:6" x14ac:dyDescent="0.3">
      <c r="A182" s="19"/>
      <c r="B182" s="35" cm="1">
        <f t="array" aca="1" ref="B182" ca="1">INDEX([1]Projects!$A$1:$F$305,CELL("row",B182),CELL("col",B182))</f>
        <v>0</v>
      </c>
      <c r="C182" s="35" cm="1">
        <f t="array" aca="1" ref="C182" ca="1">INDEX([1]Projects!$A$1:$F$305,CELL("row",C182),CELL("col",C182))</f>
        <v>0</v>
      </c>
      <c r="D182" s="35" cm="1">
        <f t="array" aca="1" ref="D182" ca="1">INDEX([1]Projects!$A$1:$F$305,CELL("row",D182),CELL("col",D182))</f>
        <v>0</v>
      </c>
      <c r="E182" s="35" cm="1">
        <f t="array" aca="1" ref="E182" ca="1">INDEX([1]Projects!$A$1:$F$305,CELL("row",E182),CELL("col",E182))</f>
        <v>0</v>
      </c>
      <c r="F182" s="35" cm="1">
        <f t="array" aca="1" ref="F182" ca="1">INDEX([1]Projects!$A$1:$F$305,CELL("row",F182),CELL("col",F182))</f>
        <v>0</v>
      </c>
    </row>
    <row r="183" spans="1:6" x14ac:dyDescent="0.3">
      <c r="A183" s="19"/>
      <c r="B183" s="35" cm="1">
        <f t="array" aca="1" ref="B183" ca="1">INDEX([1]Projects!$A$1:$F$305,CELL("row",B183),CELL("col",B183))</f>
        <v>0</v>
      </c>
      <c r="C183" s="35" cm="1">
        <f t="array" aca="1" ref="C183" ca="1">INDEX([1]Projects!$A$1:$F$305,CELL("row",C183),CELL("col",C183))</f>
        <v>0</v>
      </c>
      <c r="D183" s="35" cm="1">
        <f t="array" aca="1" ref="D183" ca="1">INDEX([1]Projects!$A$1:$F$305,CELL("row",D183),CELL("col",D183))</f>
        <v>0</v>
      </c>
      <c r="E183" s="35" cm="1">
        <f t="array" aca="1" ref="E183" ca="1">INDEX([1]Projects!$A$1:$F$305,CELL("row",E183),CELL("col",E183))</f>
        <v>0</v>
      </c>
      <c r="F183" s="35" cm="1">
        <f t="array" aca="1" ref="F183" ca="1">INDEX([1]Projects!$A$1:$F$305,CELL("row",F183),CELL("col",F183))</f>
        <v>0</v>
      </c>
    </row>
    <row r="184" spans="1:6" x14ac:dyDescent="0.3">
      <c r="A184" s="19"/>
      <c r="B184" s="35" cm="1">
        <f t="array" aca="1" ref="B184" ca="1">INDEX([1]Projects!$A$1:$F$305,CELL("row",B184),CELL("col",B184))</f>
        <v>0</v>
      </c>
      <c r="C184" s="35" cm="1">
        <f t="array" aca="1" ref="C184" ca="1">INDEX([1]Projects!$A$1:$F$305,CELL("row",C184),CELL("col",C184))</f>
        <v>0</v>
      </c>
      <c r="D184" s="35" cm="1">
        <f t="array" aca="1" ref="D184" ca="1">INDEX([1]Projects!$A$1:$F$305,CELL("row",D184),CELL("col",D184))</f>
        <v>0</v>
      </c>
      <c r="E184" s="35" cm="1">
        <f t="array" aca="1" ref="E184" ca="1">INDEX([1]Projects!$A$1:$F$305,CELL("row",E184),CELL("col",E184))</f>
        <v>0</v>
      </c>
      <c r="F184" s="35" cm="1">
        <f t="array" aca="1" ref="F184" ca="1">INDEX([1]Projects!$A$1:$F$305,CELL("row",F184),CELL("col",F184))</f>
        <v>0</v>
      </c>
    </row>
    <row r="185" spans="1:6" x14ac:dyDescent="0.3">
      <c r="A185" s="19"/>
      <c r="B185" s="35" cm="1">
        <f t="array" aca="1" ref="B185" ca="1">INDEX([1]Projects!$A$1:$F$305,CELL("row",B185),CELL("col",B185))</f>
        <v>0</v>
      </c>
      <c r="C185" s="35" cm="1">
        <f t="array" aca="1" ref="C185" ca="1">INDEX([1]Projects!$A$1:$F$305,CELL("row",C185),CELL("col",C185))</f>
        <v>0</v>
      </c>
      <c r="D185" s="35" cm="1">
        <f t="array" aca="1" ref="D185" ca="1">INDEX([1]Projects!$A$1:$F$305,CELL("row",D185),CELL("col",D185))</f>
        <v>0</v>
      </c>
      <c r="E185" s="35" cm="1">
        <f t="array" aca="1" ref="E185" ca="1">INDEX([1]Projects!$A$1:$F$305,CELL("row",E185),CELL("col",E185))</f>
        <v>0</v>
      </c>
      <c r="F185" s="35" cm="1">
        <f t="array" aca="1" ref="F185" ca="1">INDEX([1]Projects!$A$1:$F$305,CELL("row",F185),CELL("col",F185))</f>
        <v>0</v>
      </c>
    </row>
    <row r="186" spans="1:6" x14ac:dyDescent="0.3">
      <c r="A186" s="19"/>
      <c r="B186" s="35" cm="1">
        <f t="array" aca="1" ref="B186" ca="1">INDEX([1]Projects!$A$1:$F$305,CELL("row",B186),CELL("col",B186))</f>
        <v>0</v>
      </c>
      <c r="C186" s="35" cm="1">
        <f t="array" aca="1" ref="C186" ca="1">INDEX([1]Projects!$A$1:$F$305,CELL("row",C186),CELL("col",C186))</f>
        <v>0</v>
      </c>
      <c r="D186" s="35" cm="1">
        <f t="array" aca="1" ref="D186" ca="1">INDEX([1]Projects!$A$1:$F$305,CELL("row",D186),CELL("col",D186))</f>
        <v>0</v>
      </c>
      <c r="E186" s="35" cm="1">
        <f t="array" aca="1" ref="E186" ca="1">INDEX([1]Projects!$A$1:$F$305,CELL("row",E186),CELL("col",E186))</f>
        <v>0</v>
      </c>
      <c r="F186" s="35" cm="1">
        <f t="array" aca="1" ref="F186" ca="1">INDEX([1]Projects!$A$1:$F$305,CELL("row",F186),CELL("col",F186))</f>
        <v>0</v>
      </c>
    </row>
    <row r="187" spans="1:6" x14ac:dyDescent="0.3">
      <c r="A187" s="19"/>
      <c r="B187" s="35" cm="1">
        <f t="array" aca="1" ref="B187" ca="1">INDEX([1]Projects!$A$1:$F$305,CELL("row",B187),CELL("col",B187))</f>
        <v>0</v>
      </c>
      <c r="C187" s="35" cm="1">
        <f t="array" aca="1" ref="C187" ca="1">INDEX([1]Projects!$A$1:$F$305,CELL("row",C187),CELL("col",C187))</f>
        <v>0</v>
      </c>
      <c r="D187" s="35" cm="1">
        <f t="array" aca="1" ref="D187" ca="1">INDEX([1]Projects!$A$1:$F$305,CELL("row",D187),CELL("col",D187))</f>
        <v>0</v>
      </c>
      <c r="E187" s="35" cm="1">
        <f t="array" aca="1" ref="E187" ca="1">INDEX([1]Projects!$A$1:$F$305,CELL("row",E187),CELL("col",E187))</f>
        <v>0</v>
      </c>
      <c r="F187" s="35" cm="1">
        <f t="array" aca="1" ref="F187" ca="1">INDEX([1]Projects!$A$1:$F$305,CELL("row",F187),CELL("col",F187))</f>
        <v>0</v>
      </c>
    </row>
    <row r="188" spans="1:6" x14ac:dyDescent="0.3">
      <c r="A188" s="19"/>
      <c r="B188" s="35" cm="1">
        <f t="array" aca="1" ref="B188" ca="1">INDEX([1]Projects!$A$1:$F$305,CELL("row",B188),CELL("col",B188))</f>
        <v>0</v>
      </c>
      <c r="C188" s="35" cm="1">
        <f t="array" aca="1" ref="C188" ca="1">INDEX([1]Projects!$A$1:$F$305,CELL("row",C188),CELL("col",C188))</f>
        <v>0</v>
      </c>
      <c r="D188" s="35" cm="1">
        <f t="array" aca="1" ref="D188" ca="1">INDEX([1]Projects!$A$1:$F$305,CELL("row",D188),CELL("col",D188))</f>
        <v>0</v>
      </c>
      <c r="E188" s="35" cm="1">
        <f t="array" aca="1" ref="E188" ca="1">INDEX([1]Projects!$A$1:$F$305,CELL("row",E188),CELL("col",E188))</f>
        <v>0</v>
      </c>
      <c r="F188" s="35" cm="1">
        <f t="array" aca="1" ref="F188" ca="1">INDEX([1]Projects!$A$1:$F$305,CELL("row",F188),CELL("col",F188))</f>
        <v>0</v>
      </c>
    </row>
    <row r="189" spans="1:6" x14ac:dyDescent="0.3">
      <c r="A189" s="19"/>
      <c r="B189" s="35" cm="1">
        <f t="array" aca="1" ref="B189" ca="1">INDEX([1]Projects!$A$1:$F$305,CELL("row",B189),CELL("col",B189))</f>
        <v>0</v>
      </c>
      <c r="C189" s="35" cm="1">
        <f t="array" aca="1" ref="C189" ca="1">INDEX([1]Projects!$A$1:$F$305,CELL("row",C189),CELL("col",C189))</f>
        <v>0</v>
      </c>
      <c r="D189" s="35" cm="1">
        <f t="array" aca="1" ref="D189" ca="1">INDEX([1]Projects!$A$1:$F$305,CELL("row",D189),CELL("col",D189))</f>
        <v>0</v>
      </c>
      <c r="E189" s="35" cm="1">
        <f t="array" aca="1" ref="E189" ca="1">INDEX([1]Projects!$A$1:$F$305,CELL("row",E189),CELL("col",E189))</f>
        <v>0</v>
      </c>
      <c r="F189" s="35" cm="1">
        <f t="array" aca="1" ref="F189" ca="1">INDEX([1]Projects!$A$1:$F$305,CELL("row",F189),CELL("col",F189))</f>
        <v>0</v>
      </c>
    </row>
    <row r="190" spans="1:6" x14ac:dyDescent="0.3">
      <c r="A190" s="19"/>
      <c r="B190" s="35" cm="1">
        <f t="array" aca="1" ref="B190" ca="1">INDEX([1]Projects!$A$1:$F$305,CELL("row",B190),CELL("col",B190))</f>
        <v>0</v>
      </c>
      <c r="C190" s="35" cm="1">
        <f t="array" aca="1" ref="C190" ca="1">INDEX([1]Projects!$A$1:$F$305,CELL("row",C190),CELL("col",C190))</f>
        <v>0</v>
      </c>
      <c r="D190" s="35" cm="1">
        <f t="array" aca="1" ref="D190" ca="1">INDEX([1]Projects!$A$1:$F$305,CELL("row",D190),CELL("col",D190))</f>
        <v>0</v>
      </c>
      <c r="E190" s="35" cm="1">
        <f t="array" aca="1" ref="E190" ca="1">INDEX([1]Projects!$A$1:$F$305,CELL("row",E190),CELL("col",E190))</f>
        <v>0</v>
      </c>
      <c r="F190" s="35" cm="1">
        <f t="array" aca="1" ref="F190" ca="1">INDEX([1]Projects!$A$1:$F$305,CELL("row",F190),CELL("col",F190))</f>
        <v>0</v>
      </c>
    </row>
    <row r="191" spans="1:6" x14ac:dyDescent="0.3">
      <c r="A191" s="19"/>
      <c r="B191" s="35" cm="1">
        <f t="array" aca="1" ref="B191" ca="1">INDEX([1]Projects!$A$1:$F$305,CELL("row",B191),CELL("col",B191))</f>
        <v>0</v>
      </c>
      <c r="C191" s="35" cm="1">
        <f t="array" aca="1" ref="C191" ca="1">INDEX([1]Projects!$A$1:$F$305,CELL("row",C191),CELL("col",C191))</f>
        <v>0</v>
      </c>
      <c r="D191" s="35" cm="1">
        <f t="array" aca="1" ref="D191" ca="1">INDEX([1]Projects!$A$1:$F$305,CELL("row",D191),CELL("col",D191))</f>
        <v>0</v>
      </c>
      <c r="E191" s="35" cm="1">
        <f t="array" aca="1" ref="E191" ca="1">INDEX([1]Projects!$A$1:$F$305,CELL("row",E191),CELL("col",E191))</f>
        <v>0</v>
      </c>
      <c r="F191" s="35" cm="1">
        <f t="array" aca="1" ref="F191" ca="1">INDEX([1]Projects!$A$1:$F$305,CELL("row",F191),CELL("col",F191))</f>
        <v>0</v>
      </c>
    </row>
    <row r="192" spans="1:6" x14ac:dyDescent="0.3">
      <c r="A192" s="19"/>
      <c r="B192" s="35" cm="1">
        <f t="array" aca="1" ref="B192" ca="1">INDEX([1]Projects!$A$1:$F$305,CELL("row",B192),CELL("col",B192))</f>
        <v>0</v>
      </c>
      <c r="C192" s="35" cm="1">
        <f t="array" aca="1" ref="C192" ca="1">INDEX([1]Projects!$A$1:$F$305,CELL("row",C192),CELL("col",C192))</f>
        <v>0</v>
      </c>
      <c r="D192" s="35" cm="1">
        <f t="array" aca="1" ref="D192" ca="1">INDEX([1]Projects!$A$1:$F$305,CELL("row",D192),CELL("col",D192))</f>
        <v>0</v>
      </c>
      <c r="E192" s="35" cm="1">
        <f t="array" aca="1" ref="E192" ca="1">INDEX([1]Projects!$A$1:$F$305,CELL("row",E192),CELL("col",E192))</f>
        <v>0</v>
      </c>
      <c r="F192" s="35" cm="1">
        <f t="array" aca="1" ref="F192" ca="1">INDEX([1]Projects!$A$1:$F$305,CELL("row",F192),CELL("col",F192))</f>
        <v>0</v>
      </c>
    </row>
    <row r="193" spans="1:6" x14ac:dyDescent="0.3">
      <c r="A193" s="19"/>
      <c r="B193" s="35" cm="1">
        <f t="array" aca="1" ref="B193" ca="1">INDEX([1]Projects!$A$1:$F$305,CELL("row",B193),CELL("col",B193))</f>
        <v>0</v>
      </c>
      <c r="C193" s="35" cm="1">
        <f t="array" aca="1" ref="C193" ca="1">INDEX([1]Projects!$A$1:$F$305,CELL("row",C193),CELL("col",C193))</f>
        <v>0</v>
      </c>
      <c r="D193" s="35" cm="1">
        <f t="array" aca="1" ref="D193" ca="1">INDEX([1]Projects!$A$1:$F$305,CELL("row",D193),CELL("col",D193))</f>
        <v>0</v>
      </c>
      <c r="E193" s="35" cm="1">
        <f t="array" aca="1" ref="E193" ca="1">INDEX([1]Projects!$A$1:$F$305,CELL("row",E193),CELL("col",E193))</f>
        <v>0</v>
      </c>
      <c r="F193" s="35" cm="1">
        <f t="array" aca="1" ref="F193" ca="1">INDEX([1]Projects!$A$1:$F$305,CELL("row",F193),CELL("col",F193))</f>
        <v>0</v>
      </c>
    </row>
    <row r="194" spans="1:6" x14ac:dyDescent="0.3">
      <c r="A194" s="19"/>
      <c r="B194" s="35" cm="1">
        <f t="array" aca="1" ref="B194" ca="1">INDEX([1]Projects!$A$1:$F$305,CELL("row",B194),CELL("col",B194))</f>
        <v>0</v>
      </c>
      <c r="C194" s="35" cm="1">
        <f t="array" aca="1" ref="C194" ca="1">INDEX([1]Projects!$A$1:$F$305,CELL("row",C194),CELL("col",C194))</f>
        <v>0</v>
      </c>
      <c r="D194" s="35" cm="1">
        <f t="array" aca="1" ref="D194" ca="1">INDEX([1]Projects!$A$1:$F$305,CELL("row",D194),CELL("col",D194))</f>
        <v>0</v>
      </c>
      <c r="E194" s="35" cm="1">
        <f t="array" aca="1" ref="E194" ca="1">INDEX([1]Projects!$A$1:$F$305,CELL("row",E194),CELL("col",E194))</f>
        <v>0</v>
      </c>
      <c r="F194" s="35" cm="1">
        <f t="array" aca="1" ref="F194" ca="1">INDEX([1]Projects!$A$1:$F$305,CELL("row",F194),CELL("col",F194))</f>
        <v>0</v>
      </c>
    </row>
    <row r="195" spans="1:6" x14ac:dyDescent="0.3">
      <c r="A195" s="19"/>
      <c r="B195" s="35" cm="1">
        <f t="array" aca="1" ref="B195" ca="1">INDEX([1]Projects!$A$1:$F$305,CELL("row",B195),CELL("col",B195))</f>
        <v>0</v>
      </c>
      <c r="C195" s="35" cm="1">
        <f t="array" aca="1" ref="C195" ca="1">INDEX([1]Projects!$A$1:$F$305,CELL("row",C195),CELL("col",C195))</f>
        <v>0</v>
      </c>
      <c r="D195" s="35" cm="1">
        <f t="array" aca="1" ref="D195" ca="1">INDEX([1]Projects!$A$1:$F$305,CELL("row",D195),CELL("col",D195))</f>
        <v>0</v>
      </c>
      <c r="E195" s="35" cm="1">
        <f t="array" aca="1" ref="E195" ca="1">INDEX([1]Projects!$A$1:$F$305,CELL("row",E195),CELL("col",E195))</f>
        <v>0</v>
      </c>
      <c r="F195" s="35" cm="1">
        <f t="array" aca="1" ref="F195" ca="1">INDEX([1]Projects!$A$1:$F$305,CELL("row",F195),CELL("col",F195))</f>
        <v>0</v>
      </c>
    </row>
    <row r="196" spans="1:6" x14ac:dyDescent="0.3">
      <c r="A196" s="19"/>
      <c r="B196" s="35" cm="1">
        <f t="array" aca="1" ref="B196" ca="1">INDEX([1]Projects!$A$1:$F$305,CELL("row",B196),CELL("col",B196))</f>
        <v>0</v>
      </c>
      <c r="C196" s="35" cm="1">
        <f t="array" aca="1" ref="C196" ca="1">INDEX([1]Projects!$A$1:$F$305,CELL("row",C196),CELL("col",C196))</f>
        <v>0</v>
      </c>
      <c r="D196" s="35" cm="1">
        <f t="array" aca="1" ref="D196" ca="1">INDEX([1]Projects!$A$1:$F$305,CELL("row",D196),CELL("col",D196))</f>
        <v>0</v>
      </c>
      <c r="E196" s="35" cm="1">
        <f t="array" aca="1" ref="E196" ca="1">INDEX([1]Projects!$A$1:$F$305,CELL("row",E196),CELL("col",E196))</f>
        <v>0</v>
      </c>
      <c r="F196" s="35" cm="1">
        <f t="array" aca="1" ref="F196" ca="1">INDEX([1]Projects!$A$1:$F$305,CELL("row",F196),CELL("col",F196))</f>
        <v>0</v>
      </c>
    </row>
    <row r="197" spans="1:6" x14ac:dyDescent="0.3">
      <c r="A197" s="19"/>
      <c r="B197" s="35" cm="1">
        <f t="array" aca="1" ref="B197" ca="1">INDEX([1]Projects!$A$1:$F$305,CELL("row",B197),CELL("col",B197))</f>
        <v>0</v>
      </c>
      <c r="C197" s="35" cm="1">
        <f t="array" aca="1" ref="C197" ca="1">INDEX([1]Projects!$A$1:$F$305,CELL("row",C197),CELL("col",C197))</f>
        <v>0</v>
      </c>
      <c r="D197" s="35" cm="1">
        <f t="array" aca="1" ref="D197" ca="1">INDEX([1]Projects!$A$1:$F$305,CELL("row",D197),CELL("col",D197))</f>
        <v>0</v>
      </c>
      <c r="E197" s="35" cm="1">
        <f t="array" aca="1" ref="E197" ca="1">INDEX([1]Projects!$A$1:$F$305,CELL("row",E197),CELL("col",E197))</f>
        <v>0</v>
      </c>
      <c r="F197" s="35" cm="1">
        <f t="array" aca="1" ref="F197" ca="1">INDEX([1]Projects!$A$1:$F$305,CELL("row",F197),CELL("col",F197))</f>
        <v>0</v>
      </c>
    </row>
    <row r="198" spans="1:6" x14ac:dyDescent="0.3">
      <c r="A198" s="19"/>
      <c r="B198" s="35" cm="1">
        <f t="array" aca="1" ref="B198" ca="1">INDEX([1]Projects!$A$1:$F$305,CELL("row",B198),CELL("col",B198))</f>
        <v>0</v>
      </c>
      <c r="C198" s="35" cm="1">
        <f t="array" aca="1" ref="C198" ca="1">INDEX([1]Projects!$A$1:$F$305,CELL("row",C198),CELL("col",C198))</f>
        <v>0</v>
      </c>
      <c r="D198" s="35" cm="1">
        <f t="array" aca="1" ref="D198" ca="1">INDEX([1]Projects!$A$1:$F$305,CELL("row",D198),CELL("col",D198))</f>
        <v>0</v>
      </c>
      <c r="E198" s="35" cm="1">
        <f t="array" aca="1" ref="E198" ca="1">INDEX([1]Projects!$A$1:$F$305,CELL("row",E198),CELL("col",E198))</f>
        <v>0</v>
      </c>
      <c r="F198" s="35" cm="1">
        <f t="array" aca="1" ref="F198" ca="1">INDEX([1]Projects!$A$1:$F$305,CELL("row",F198),CELL("col",F198))</f>
        <v>0</v>
      </c>
    </row>
    <row r="199" spans="1:6" x14ac:dyDescent="0.3">
      <c r="A199" s="19"/>
      <c r="B199" s="35" cm="1">
        <f t="array" aca="1" ref="B199" ca="1">INDEX([1]Projects!$A$1:$F$305,CELL("row",B199),CELL("col",B199))</f>
        <v>0</v>
      </c>
      <c r="C199" s="35" cm="1">
        <f t="array" aca="1" ref="C199" ca="1">INDEX([1]Projects!$A$1:$F$305,CELL("row",C199),CELL("col",C199))</f>
        <v>0</v>
      </c>
      <c r="D199" s="35" cm="1">
        <f t="array" aca="1" ref="D199" ca="1">INDEX([1]Projects!$A$1:$F$305,CELL("row",D199),CELL("col",D199))</f>
        <v>0</v>
      </c>
      <c r="E199" s="35" cm="1">
        <f t="array" aca="1" ref="E199" ca="1">INDEX([1]Projects!$A$1:$F$305,CELL("row",E199),CELL("col",E199))</f>
        <v>0</v>
      </c>
      <c r="F199" s="35" cm="1">
        <f t="array" aca="1" ref="F199" ca="1">INDEX([1]Projects!$A$1:$F$305,CELL("row",F199),CELL("col",F199))</f>
        <v>0</v>
      </c>
    </row>
    <row r="200" spans="1:6" x14ac:dyDescent="0.3">
      <c r="A200" s="19"/>
      <c r="B200" s="35" cm="1">
        <f t="array" aca="1" ref="B200" ca="1">INDEX([1]Projects!$A$1:$F$305,CELL("row",B200),CELL("col",B200))</f>
        <v>0</v>
      </c>
      <c r="C200" s="35" cm="1">
        <f t="array" aca="1" ref="C200" ca="1">INDEX([1]Projects!$A$1:$F$305,CELL("row",C200),CELL("col",C200))</f>
        <v>0</v>
      </c>
      <c r="D200" s="35" cm="1">
        <f t="array" aca="1" ref="D200" ca="1">INDEX([1]Projects!$A$1:$F$305,CELL("row",D200),CELL("col",D200))</f>
        <v>0</v>
      </c>
      <c r="E200" s="35" cm="1">
        <f t="array" aca="1" ref="E200" ca="1">INDEX([1]Projects!$A$1:$F$305,CELL("row",E200),CELL("col",E200))</f>
        <v>0</v>
      </c>
      <c r="F200" s="35" cm="1">
        <f t="array" aca="1" ref="F200" ca="1">INDEX([1]Projects!$A$1:$F$305,CELL("row",F200),CELL("col",F200))</f>
        <v>0</v>
      </c>
    </row>
    <row r="201" spans="1:6" x14ac:dyDescent="0.3">
      <c r="A201" s="19"/>
      <c r="B201" s="35" cm="1">
        <f t="array" aca="1" ref="B201" ca="1">INDEX([1]Projects!$A$1:$F$305,CELL("row",B201),CELL("col",B201))</f>
        <v>0</v>
      </c>
      <c r="C201" s="35" cm="1">
        <f t="array" aca="1" ref="C201" ca="1">INDEX([1]Projects!$A$1:$F$305,CELL("row",C201),CELL("col",C201))</f>
        <v>0</v>
      </c>
      <c r="D201" s="35" cm="1">
        <f t="array" aca="1" ref="D201" ca="1">INDEX([1]Projects!$A$1:$F$305,CELL("row",D201),CELL("col",D201))</f>
        <v>0</v>
      </c>
      <c r="E201" s="35" cm="1">
        <f t="array" aca="1" ref="E201" ca="1">INDEX([1]Projects!$A$1:$F$305,CELL("row",E201),CELL("col",E201))</f>
        <v>0</v>
      </c>
      <c r="F201" s="35" cm="1">
        <f t="array" aca="1" ref="F201" ca="1">INDEX([1]Projects!$A$1:$F$305,CELL("row",F201),CELL("col",F201))</f>
        <v>0</v>
      </c>
    </row>
    <row r="202" spans="1:6" x14ac:dyDescent="0.3">
      <c r="A202" s="19"/>
      <c r="B202" s="35" cm="1">
        <f t="array" aca="1" ref="B202" ca="1">INDEX([1]Projects!$A$1:$F$305,CELL("row",B202),CELL("col",B202))</f>
        <v>0</v>
      </c>
      <c r="C202" s="35" cm="1">
        <f t="array" aca="1" ref="C202" ca="1">INDEX([1]Projects!$A$1:$F$305,CELL("row",C202),CELL("col",C202))</f>
        <v>0</v>
      </c>
      <c r="D202" s="35" cm="1">
        <f t="array" aca="1" ref="D202" ca="1">INDEX([1]Projects!$A$1:$F$305,CELL("row",D202),CELL("col",D202))</f>
        <v>0</v>
      </c>
      <c r="E202" s="35" cm="1">
        <f t="array" aca="1" ref="E202" ca="1">INDEX([1]Projects!$A$1:$F$305,CELL("row",E202),CELL("col",E202))</f>
        <v>0</v>
      </c>
      <c r="F202" s="35" cm="1">
        <f t="array" aca="1" ref="F202" ca="1">INDEX([1]Projects!$A$1:$F$305,CELL("row",F202),CELL("col",F202))</f>
        <v>0</v>
      </c>
    </row>
    <row r="203" spans="1:6" x14ac:dyDescent="0.3">
      <c r="A203" s="19"/>
      <c r="B203" s="35" cm="1">
        <f t="array" aca="1" ref="B203" ca="1">INDEX([1]Projects!$A$1:$F$305,CELL("row",B203),CELL("col",B203))</f>
        <v>0</v>
      </c>
      <c r="C203" s="35" cm="1">
        <f t="array" aca="1" ref="C203" ca="1">INDEX([1]Projects!$A$1:$F$305,CELL("row",C203),CELL("col",C203))</f>
        <v>0</v>
      </c>
      <c r="D203" s="35" cm="1">
        <f t="array" aca="1" ref="D203" ca="1">INDEX([1]Projects!$A$1:$F$305,CELL("row",D203),CELL("col",D203))</f>
        <v>0</v>
      </c>
      <c r="E203" s="35" cm="1">
        <f t="array" aca="1" ref="E203" ca="1">INDEX([1]Projects!$A$1:$F$305,CELL("row",E203),CELL("col",E203))</f>
        <v>0</v>
      </c>
      <c r="F203" s="35" cm="1">
        <f t="array" aca="1" ref="F203" ca="1">INDEX([1]Projects!$A$1:$F$305,CELL("row",F203),CELL("col",F203))</f>
        <v>0</v>
      </c>
    </row>
    <row r="204" spans="1:6" x14ac:dyDescent="0.3">
      <c r="A204" s="19"/>
      <c r="B204" s="35" cm="1">
        <f t="array" aca="1" ref="B204" ca="1">INDEX([1]Projects!$A$1:$F$305,CELL("row",B204),CELL("col",B204))</f>
        <v>0</v>
      </c>
      <c r="C204" s="35" cm="1">
        <f t="array" aca="1" ref="C204" ca="1">INDEX([1]Projects!$A$1:$F$305,CELL("row",C204),CELL("col",C204))</f>
        <v>0</v>
      </c>
      <c r="D204" s="35" cm="1">
        <f t="array" aca="1" ref="D204" ca="1">INDEX([1]Projects!$A$1:$F$305,CELL("row",D204),CELL("col",D204))</f>
        <v>0</v>
      </c>
      <c r="E204" s="35" cm="1">
        <f t="array" aca="1" ref="E204" ca="1">INDEX([1]Projects!$A$1:$F$305,CELL("row",E204),CELL("col",E204))</f>
        <v>0</v>
      </c>
      <c r="F204" s="35" cm="1">
        <f t="array" aca="1" ref="F204" ca="1">INDEX([1]Projects!$A$1:$F$305,CELL("row",F204),CELL("col",F204))</f>
        <v>0</v>
      </c>
    </row>
    <row r="205" spans="1:6" x14ac:dyDescent="0.3">
      <c r="A205" s="19"/>
      <c r="B205" s="35" cm="1">
        <f t="array" aca="1" ref="B205" ca="1">INDEX([1]Projects!$A$1:$F$305,CELL("row",B205),CELL("col",B205))</f>
        <v>0</v>
      </c>
      <c r="C205" s="35" cm="1">
        <f t="array" aca="1" ref="C205" ca="1">INDEX([1]Projects!$A$1:$F$305,CELL("row",C205),CELL("col",C205))</f>
        <v>0</v>
      </c>
      <c r="D205" s="35" cm="1">
        <f t="array" aca="1" ref="D205" ca="1">INDEX([1]Projects!$A$1:$F$305,CELL("row",D205),CELL("col",D205))</f>
        <v>0</v>
      </c>
      <c r="E205" s="35" cm="1">
        <f t="array" aca="1" ref="E205" ca="1">INDEX([1]Projects!$A$1:$F$305,CELL("row",E205),CELL("col",E205))</f>
        <v>0</v>
      </c>
      <c r="F205" s="35" cm="1">
        <f t="array" aca="1" ref="F205" ca="1">INDEX([1]Projects!$A$1:$F$305,CELL("row",F205),CELL("col",F205))</f>
        <v>0</v>
      </c>
    </row>
    <row r="206" spans="1:6" x14ac:dyDescent="0.3">
      <c r="A206" s="19"/>
      <c r="B206" s="35" cm="1">
        <f t="array" aca="1" ref="B206" ca="1">INDEX([1]Projects!$A$1:$F$305,CELL("row",B206),CELL("col",B206))</f>
        <v>0</v>
      </c>
      <c r="C206" s="35" cm="1">
        <f t="array" aca="1" ref="C206" ca="1">INDEX([1]Projects!$A$1:$F$305,CELL("row",C206),CELL("col",C206))</f>
        <v>0</v>
      </c>
      <c r="D206" s="35" cm="1">
        <f t="array" aca="1" ref="D206" ca="1">INDEX([1]Projects!$A$1:$F$305,CELL("row",D206),CELL("col",D206))</f>
        <v>0</v>
      </c>
      <c r="E206" s="35" cm="1">
        <f t="array" aca="1" ref="E206" ca="1">INDEX([1]Projects!$A$1:$F$305,CELL("row",E206),CELL("col",E206))</f>
        <v>0</v>
      </c>
      <c r="F206" s="35" cm="1">
        <f t="array" aca="1" ref="F206" ca="1">INDEX([1]Projects!$A$1:$F$305,CELL("row",F206),CELL("col",F206))</f>
        <v>0</v>
      </c>
    </row>
    <row r="207" spans="1:6" x14ac:dyDescent="0.3">
      <c r="A207" s="19"/>
      <c r="B207" s="35" cm="1">
        <f t="array" aca="1" ref="B207" ca="1">INDEX([1]Projects!$A$1:$F$305,CELL("row",B207),CELL("col",B207))</f>
        <v>0</v>
      </c>
      <c r="C207" s="35" cm="1">
        <f t="array" aca="1" ref="C207" ca="1">INDEX([1]Projects!$A$1:$F$305,CELL("row",C207),CELL("col",C207))</f>
        <v>0</v>
      </c>
      <c r="D207" s="35" cm="1">
        <f t="array" aca="1" ref="D207" ca="1">INDEX([1]Projects!$A$1:$F$305,CELL("row",D207),CELL("col",D207))</f>
        <v>0</v>
      </c>
      <c r="E207" s="35" cm="1">
        <f t="array" aca="1" ref="E207" ca="1">INDEX([1]Projects!$A$1:$F$305,CELL("row",E207),CELL("col",E207))</f>
        <v>0</v>
      </c>
      <c r="F207" s="35" cm="1">
        <f t="array" aca="1" ref="F207" ca="1">INDEX([1]Projects!$A$1:$F$305,CELL("row",F207),CELL("col",F207))</f>
        <v>0</v>
      </c>
    </row>
    <row r="208" spans="1:6" x14ac:dyDescent="0.3">
      <c r="A208" s="19"/>
      <c r="B208" s="35" cm="1">
        <f t="array" aca="1" ref="B208" ca="1">INDEX([1]Projects!$A$1:$F$305,CELL("row",B208),CELL("col",B208))</f>
        <v>0</v>
      </c>
      <c r="C208" s="35" cm="1">
        <f t="array" aca="1" ref="C208" ca="1">INDEX([1]Projects!$A$1:$F$305,CELL("row",C208),CELL("col",C208))</f>
        <v>0</v>
      </c>
      <c r="D208" s="35" cm="1">
        <f t="array" aca="1" ref="D208" ca="1">INDEX([1]Projects!$A$1:$F$305,CELL("row",D208),CELL("col",D208))</f>
        <v>0</v>
      </c>
      <c r="E208" s="35" cm="1">
        <f t="array" aca="1" ref="E208" ca="1">INDEX([1]Projects!$A$1:$F$305,CELL("row",E208),CELL("col",E208))</f>
        <v>0</v>
      </c>
      <c r="F208" s="35" cm="1">
        <f t="array" aca="1" ref="F208" ca="1">INDEX([1]Projects!$A$1:$F$305,CELL("row",F208),CELL("col",F208))</f>
        <v>0</v>
      </c>
    </row>
    <row r="209" spans="1:6" x14ac:dyDescent="0.3">
      <c r="A209" s="19"/>
      <c r="B209" s="35" cm="1">
        <f t="array" aca="1" ref="B209" ca="1">INDEX([1]Projects!$A$1:$F$305,CELL("row",B209),CELL("col",B209))</f>
        <v>0</v>
      </c>
      <c r="C209" s="35" cm="1">
        <f t="array" aca="1" ref="C209" ca="1">INDEX([1]Projects!$A$1:$F$305,CELL("row",C209),CELL("col",C209))</f>
        <v>0</v>
      </c>
      <c r="D209" s="35" cm="1">
        <f t="array" aca="1" ref="D209" ca="1">INDEX([1]Projects!$A$1:$F$305,CELL("row",D209),CELL("col",D209))</f>
        <v>0</v>
      </c>
      <c r="E209" s="35" cm="1">
        <f t="array" aca="1" ref="E209" ca="1">INDEX([1]Projects!$A$1:$F$305,CELL("row",E209),CELL("col",E209))</f>
        <v>0</v>
      </c>
      <c r="F209" s="35" cm="1">
        <f t="array" aca="1" ref="F209" ca="1">INDEX([1]Projects!$A$1:$F$305,CELL("row",F209),CELL("col",F209))</f>
        <v>0</v>
      </c>
    </row>
    <row r="210" spans="1:6" x14ac:dyDescent="0.3">
      <c r="A210" s="19"/>
      <c r="B210" s="35" cm="1">
        <f t="array" aca="1" ref="B210" ca="1">INDEX([1]Projects!$A$1:$F$305,CELL("row",B210),CELL("col",B210))</f>
        <v>0</v>
      </c>
      <c r="C210" s="35" cm="1">
        <f t="array" aca="1" ref="C210" ca="1">INDEX([1]Projects!$A$1:$F$305,CELL("row",C210),CELL("col",C210))</f>
        <v>0</v>
      </c>
      <c r="D210" s="35" cm="1">
        <f t="array" aca="1" ref="D210" ca="1">INDEX([1]Projects!$A$1:$F$305,CELL("row",D210),CELL("col",D210))</f>
        <v>0</v>
      </c>
      <c r="E210" s="35" cm="1">
        <f t="array" aca="1" ref="E210" ca="1">INDEX([1]Projects!$A$1:$F$305,CELL("row",E210),CELL("col",E210))</f>
        <v>0</v>
      </c>
      <c r="F210" s="35" cm="1">
        <f t="array" aca="1" ref="F210" ca="1">INDEX([1]Projects!$A$1:$F$305,CELL("row",F210),CELL("col",F210))</f>
        <v>0</v>
      </c>
    </row>
    <row r="211" spans="1:6" x14ac:dyDescent="0.3">
      <c r="A211" s="19"/>
      <c r="B211" s="35" cm="1">
        <f t="array" aca="1" ref="B211" ca="1">INDEX([1]Projects!$A$1:$F$305,CELL("row",B211),CELL("col",B211))</f>
        <v>0</v>
      </c>
      <c r="C211" s="35" cm="1">
        <f t="array" aca="1" ref="C211" ca="1">INDEX([1]Projects!$A$1:$F$305,CELL("row",C211),CELL("col",C211))</f>
        <v>0</v>
      </c>
      <c r="D211" s="35" cm="1">
        <f t="array" aca="1" ref="D211" ca="1">INDEX([1]Projects!$A$1:$F$305,CELL("row",D211),CELL("col",D211))</f>
        <v>0</v>
      </c>
      <c r="E211" s="35" cm="1">
        <f t="array" aca="1" ref="E211" ca="1">INDEX([1]Projects!$A$1:$F$305,CELL("row",E211),CELL("col",E211))</f>
        <v>0</v>
      </c>
      <c r="F211" s="35" cm="1">
        <f t="array" aca="1" ref="F211" ca="1">INDEX([1]Projects!$A$1:$F$305,CELL("row",F211),CELL("col",F211))</f>
        <v>0</v>
      </c>
    </row>
    <row r="212" spans="1:6" x14ac:dyDescent="0.3">
      <c r="A212" s="19"/>
      <c r="B212" s="35" cm="1">
        <f t="array" aca="1" ref="B212" ca="1">INDEX([1]Projects!$A$1:$F$305,CELL("row",B212),CELL("col",B212))</f>
        <v>0</v>
      </c>
      <c r="C212" s="35" cm="1">
        <f t="array" aca="1" ref="C212" ca="1">INDEX([1]Projects!$A$1:$F$305,CELL("row",C212),CELL("col",C212))</f>
        <v>0</v>
      </c>
      <c r="D212" s="35" cm="1">
        <f t="array" aca="1" ref="D212" ca="1">INDEX([1]Projects!$A$1:$F$305,CELL("row",D212),CELL("col",D212))</f>
        <v>0</v>
      </c>
      <c r="E212" s="35" cm="1">
        <f t="array" aca="1" ref="E212" ca="1">INDEX([1]Projects!$A$1:$F$305,CELL("row",E212),CELL("col",E212))</f>
        <v>0</v>
      </c>
      <c r="F212" s="35" cm="1">
        <f t="array" aca="1" ref="F212" ca="1">INDEX([1]Projects!$A$1:$F$305,CELL("row",F212),CELL("col",F212))</f>
        <v>0</v>
      </c>
    </row>
    <row r="213" spans="1:6" x14ac:dyDescent="0.3">
      <c r="A213" s="19"/>
      <c r="B213" s="35" cm="1">
        <f t="array" aca="1" ref="B213" ca="1">INDEX([1]Projects!$A$1:$F$305,CELL("row",B213),CELL("col",B213))</f>
        <v>0</v>
      </c>
      <c r="C213" s="35" cm="1">
        <f t="array" aca="1" ref="C213" ca="1">INDEX([1]Projects!$A$1:$F$305,CELL("row",C213),CELL("col",C213))</f>
        <v>0</v>
      </c>
      <c r="D213" s="35" cm="1">
        <f t="array" aca="1" ref="D213" ca="1">INDEX([1]Projects!$A$1:$F$305,CELL("row",D213),CELL("col",D213))</f>
        <v>0</v>
      </c>
      <c r="E213" s="35" cm="1">
        <f t="array" aca="1" ref="E213" ca="1">INDEX([1]Projects!$A$1:$F$305,CELL("row",E213),CELL("col",E213))</f>
        <v>0</v>
      </c>
      <c r="F213" s="35" cm="1">
        <f t="array" aca="1" ref="F213" ca="1">INDEX([1]Projects!$A$1:$F$305,CELL("row",F213),CELL("col",F213))</f>
        <v>0</v>
      </c>
    </row>
    <row r="214" spans="1:6" x14ac:dyDescent="0.3">
      <c r="A214" s="19"/>
      <c r="B214" s="35" cm="1">
        <f t="array" aca="1" ref="B214" ca="1">INDEX([1]Projects!$A$1:$F$305,CELL("row",B214),CELL("col",B214))</f>
        <v>0</v>
      </c>
      <c r="C214" s="35" cm="1">
        <f t="array" aca="1" ref="C214" ca="1">INDEX([1]Projects!$A$1:$F$305,CELL("row",C214),CELL("col",C214))</f>
        <v>0</v>
      </c>
      <c r="D214" s="35" cm="1">
        <f t="array" aca="1" ref="D214" ca="1">INDEX([1]Projects!$A$1:$F$305,CELL("row",D214),CELL("col",D214))</f>
        <v>0</v>
      </c>
      <c r="E214" s="35" cm="1">
        <f t="array" aca="1" ref="E214" ca="1">INDEX([1]Projects!$A$1:$F$305,CELL("row",E214),CELL("col",E214))</f>
        <v>0</v>
      </c>
      <c r="F214" s="35" cm="1">
        <f t="array" aca="1" ref="F214" ca="1">INDEX([1]Projects!$A$1:$F$305,CELL("row",F214),CELL("col",F214))</f>
        <v>0</v>
      </c>
    </row>
    <row r="215" spans="1:6" x14ac:dyDescent="0.3">
      <c r="A215" s="19"/>
      <c r="B215" s="35" cm="1">
        <f t="array" aca="1" ref="B215" ca="1">INDEX([1]Projects!$A$1:$F$305,CELL("row",B215),CELL("col",B215))</f>
        <v>0</v>
      </c>
      <c r="C215" s="35" cm="1">
        <f t="array" aca="1" ref="C215" ca="1">INDEX([1]Projects!$A$1:$F$305,CELL("row",C215),CELL("col",C215))</f>
        <v>0</v>
      </c>
      <c r="D215" s="35" cm="1">
        <f t="array" aca="1" ref="D215" ca="1">INDEX([1]Projects!$A$1:$F$305,CELL("row",D215),CELL("col",D215))</f>
        <v>0</v>
      </c>
      <c r="E215" s="35" cm="1">
        <f t="array" aca="1" ref="E215" ca="1">INDEX([1]Projects!$A$1:$F$305,CELL("row",E215),CELL("col",E215))</f>
        <v>0</v>
      </c>
      <c r="F215" s="35" cm="1">
        <f t="array" aca="1" ref="F215" ca="1">INDEX([1]Projects!$A$1:$F$305,CELL("row",F215),CELL("col",F215))</f>
        <v>0</v>
      </c>
    </row>
    <row r="216" spans="1:6" x14ac:dyDescent="0.3">
      <c r="A216" s="19"/>
      <c r="B216" s="35" cm="1">
        <f t="array" aca="1" ref="B216" ca="1">INDEX([1]Projects!$A$1:$F$305,CELL("row",B216),CELL("col",B216))</f>
        <v>0</v>
      </c>
      <c r="C216" s="35" cm="1">
        <f t="array" aca="1" ref="C216" ca="1">INDEX([1]Projects!$A$1:$F$305,CELL("row",C216),CELL("col",C216))</f>
        <v>0</v>
      </c>
      <c r="D216" s="35" cm="1">
        <f t="array" aca="1" ref="D216" ca="1">INDEX([1]Projects!$A$1:$F$305,CELL("row",D216),CELL("col",D216))</f>
        <v>0</v>
      </c>
      <c r="E216" s="35" cm="1">
        <f t="array" aca="1" ref="E216" ca="1">INDEX([1]Projects!$A$1:$F$305,CELL("row",E216),CELL("col",E216))</f>
        <v>0</v>
      </c>
      <c r="F216" s="35" cm="1">
        <f t="array" aca="1" ref="F216" ca="1">INDEX([1]Projects!$A$1:$F$305,CELL("row",F216),CELL("col",F216))</f>
        <v>0</v>
      </c>
    </row>
    <row r="217" spans="1:6" x14ac:dyDescent="0.3">
      <c r="A217" s="19"/>
      <c r="B217" s="35" cm="1">
        <f t="array" aca="1" ref="B217" ca="1">INDEX([1]Projects!$A$1:$F$305,CELL("row",B217),CELL("col",B217))</f>
        <v>0</v>
      </c>
      <c r="C217" s="35" cm="1">
        <f t="array" aca="1" ref="C217" ca="1">INDEX([1]Projects!$A$1:$F$305,CELL("row",C217),CELL("col",C217))</f>
        <v>0</v>
      </c>
      <c r="D217" s="35" cm="1">
        <f t="array" aca="1" ref="D217" ca="1">INDEX([1]Projects!$A$1:$F$305,CELL("row",D217),CELL("col",D217))</f>
        <v>0</v>
      </c>
      <c r="E217" s="35" cm="1">
        <f t="array" aca="1" ref="E217" ca="1">INDEX([1]Projects!$A$1:$F$305,CELL("row",E217),CELL("col",E217))</f>
        <v>0</v>
      </c>
      <c r="F217" s="35" cm="1">
        <f t="array" aca="1" ref="F217" ca="1">INDEX([1]Projects!$A$1:$F$305,CELL("row",F217),CELL("col",F217))</f>
        <v>0</v>
      </c>
    </row>
    <row r="218" spans="1:6" x14ac:dyDescent="0.3">
      <c r="A218" s="19"/>
      <c r="B218" s="35" cm="1">
        <f t="array" aca="1" ref="B218" ca="1">INDEX([1]Projects!$A$1:$F$305,CELL("row",B218),CELL("col",B218))</f>
        <v>0</v>
      </c>
      <c r="C218" s="35" cm="1">
        <f t="array" aca="1" ref="C218" ca="1">INDEX([1]Projects!$A$1:$F$305,CELL("row",C218),CELL("col",C218))</f>
        <v>0</v>
      </c>
      <c r="D218" s="35" cm="1">
        <f t="array" aca="1" ref="D218" ca="1">INDEX([1]Projects!$A$1:$F$305,CELL("row",D218),CELL("col",D218))</f>
        <v>0</v>
      </c>
      <c r="E218" s="35" cm="1">
        <f t="array" aca="1" ref="E218" ca="1">INDEX([1]Projects!$A$1:$F$305,CELL("row",E218),CELL("col",E218))</f>
        <v>0</v>
      </c>
      <c r="F218" s="35" cm="1">
        <f t="array" aca="1" ref="F218" ca="1">INDEX([1]Projects!$A$1:$F$305,CELL("row",F218),CELL("col",F218))</f>
        <v>0</v>
      </c>
    </row>
    <row r="219" spans="1:6" x14ac:dyDescent="0.3">
      <c r="A219" s="19"/>
      <c r="B219" s="35" cm="1">
        <f t="array" aca="1" ref="B219" ca="1">INDEX([1]Projects!$A$1:$F$305,CELL("row",B219),CELL("col",B219))</f>
        <v>0</v>
      </c>
      <c r="C219" s="35" cm="1">
        <f t="array" aca="1" ref="C219" ca="1">INDEX([1]Projects!$A$1:$F$305,CELL("row",C219),CELL("col",C219))</f>
        <v>0</v>
      </c>
      <c r="D219" s="35" cm="1">
        <f t="array" aca="1" ref="D219" ca="1">INDEX([1]Projects!$A$1:$F$305,CELL("row",D219),CELL("col",D219))</f>
        <v>0</v>
      </c>
      <c r="E219" s="35" cm="1">
        <f t="array" aca="1" ref="E219" ca="1">INDEX([1]Projects!$A$1:$F$305,CELL("row",E219),CELL("col",E219))</f>
        <v>0</v>
      </c>
      <c r="F219" s="35" cm="1">
        <f t="array" aca="1" ref="F219" ca="1">INDEX([1]Projects!$A$1:$F$305,CELL("row",F219),CELL("col",F219))</f>
        <v>0</v>
      </c>
    </row>
    <row r="220" spans="1:6" x14ac:dyDescent="0.3">
      <c r="A220" s="19"/>
      <c r="B220" s="35" cm="1">
        <f t="array" aca="1" ref="B220" ca="1">INDEX([1]Projects!$A$1:$F$305,CELL("row",B220),CELL("col",B220))</f>
        <v>0</v>
      </c>
      <c r="C220" s="35" cm="1">
        <f t="array" aca="1" ref="C220" ca="1">INDEX([1]Projects!$A$1:$F$305,CELL("row",C220),CELL("col",C220))</f>
        <v>0</v>
      </c>
      <c r="D220" s="35" cm="1">
        <f t="array" aca="1" ref="D220" ca="1">INDEX([1]Projects!$A$1:$F$305,CELL("row",D220),CELL("col",D220))</f>
        <v>0</v>
      </c>
      <c r="E220" s="35" cm="1">
        <f t="array" aca="1" ref="E220" ca="1">INDEX([1]Projects!$A$1:$F$305,CELL("row",E220),CELL("col",E220))</f>
        <v>0</v>
      </c>
      <c r="F220" s="35" cm="1">
        <f t="array" aca="1" ref="F220" ca="1">INDEX([1]Projects!$A$1:$F$305,CELL("row",F220),CELL("col",F220))</f>
        <v>0</v>
      </c>
    </row>
    <row r="221" spans="1:6" x14ac:dyDescent="0.3">
      <c r="B221" s="35" cm="1">
        <f t="array" aca="1" ref="B221" ca="1">INDEX([1]Projects!$A$1:$F$305,CELL("row",B221),CELL("col",B221))</f>
        <v>0</v>
      </c>
      <c r="C221" s="35" cm="1">
        <f t="array" aca="1" ref="C221" ca="1">INDEX([1]Projects!$A$1:$F$305,CELL("row",C221),CELL("col",C221))</f>
        <v>0</v>
      </c>
      <c r="D221" s="35" cm="1">
        <f t="array" aca="1" ref="D221" ca="1">INDEX([1]Projects!$A$1:$F$305,CELL("row",D221),CELL("col",D221))</f>
        <v>0</v>
      </c>
      <c r="E221" s="35" cm="1">
        <f t="array" aca="1" ref="E221" ca="1">INDEX([1]Projects!$A$1:$F$305,CELL("row",E221),CELL("col",E221))</f>
        <v>0</v>
      </c>
      <c r="F221" s="35" cm="1">
        <f t="array" aca="1" ref="F221" ca="1">INDEX([1]Projects!$A$1:$F$305,CELL("row",F221),CELL("col",F221))</f>
        <v>0</v>
      </c>
    </row>
    <row r="222" spans="1:6" x14ac:dyDescent="0.3">
      <c r="A222" s="19"/>
      <c r="B222" s="35" cm="1">
        <f t="array" aca="1" ref="B222" ca="1">INDEX([1]Projects!$A$1:$F$305,CELL("row",B222),CELL("col",B222))</f>
        <v>0</v>
      </c>
      <c r="C222" s="35" cm="1">
        <f t="array" aca="1" ref="C222" ca="1">INDEX([1]Projects!$A$1:$F$305,CELL("row",C222),CELL("col",C222))</f>
        <v>0</v>
      </c>
      <c r="D222" s="35" cm="1">
        <f t="array" aca="1" ref="D222" ca="1">INDEX([1]Projects!$A$1:$F$305,CELL("row",D222),CELL("col",D222))</f>
        <v>0</v>
      </c>
      <c r="E222" s="35" cm="1">
        <f t="array" aca="1" ref="E222" ca="1">INDEX([1]Projects!$A$1:$F$305,CELL("row",E222),CELL("col",E222))</f>
        <v>0</v>
      </c>
      <c r="F222" s="35" cm="1">
        <f t="array" aca="1" ref="F222" ca="1">INDEX([1]Projects!$A$1:$F$305,CELL("row",F222),CELL("col",F222))</f>
        <v>0</v>
      </c>
    </row>
    <row r="223" spans="1:6" x14ac:dyDescent="0.3">
      <c r="A223" s="19"/>
      <c r="B223" s="35" cm="1">
        <f t="array" aca="1" ref="B223" ca="1">INDEX([1]Projects!$A$1:$F$305,CELL("row",B223),CELL("col",B223))</f>
        <v>0</v>
      </c>
      <c r="C223" s="35" cm="1">
        <f t="array" aca="1" ref="C223" ca="1">INDEX([1]Projects!$A$1:$F$305,CELL("row",C223),CELL("col",C223))</f>
        <v>0</v>
      </c>
      <c r="D223" s="35" cm="1">
        <f t="array" aca="1" ref="D223" ca="1">INDEX([1]Projects!$A$1:$F$305,CELL("row",D223),CELL("col",D223))</f>
        <v>0</v>
      </c>
      <c r="E223" s="35" cm="1">
        <f t="array" aca="1" ref="E223" ca="1">INDEX([1]Projects!$A$1:$F$305,CELL("row",E223),CELL("col",E223))</f>
        <v>0</v>
      </c>
      <c r="F223" s="35" cm="1">
        <f t="array" aca="1" ref="F223" ca="1">INDEX([1]Projects!$A$1:$F$305,CELL("row",F223),CELL("col",F223))</f>
        <v>0</v>
      </c>
    </row>
    <row r="224" spans="1:6" x14ac:dyDescent="0.3">
      <c r="A224" s="19"/>
      <c r="B224" s="35" cm="1">
        <f t="array" aca="1" ref="B224" ca="1">INDEX([1]Projects!$A$1:$F$305,CELL("row",B224),CELL("col",B224))</f>
        <v>0</v>
      </c>
      <c r="C224" s="35" cm="1">
        <f t="array" aca="1" ref="C224" ca="1">INDEX([1]Projects!$A$1:$F$305,CELL("row",C224),CELL("col",C224))</f>
        <v>0</v>
      </c>
      <c r="D224" s="35" cm="1">
        <f t="array" aca="1" ref="D224" ca="1">INDEX([1]Projects!$A$1:$F$305,CELL("row",D224),CELL("col",D224))</f>
        <v>0</v>
      </c>
      <c r="E224" s="35" cm="1">
        <f t="array" aca="1" ref="E224" ca="1">INDEX([1]Projects!$A$1:$F$305,CELL("row",E224),CELL("col",E224))</f>
        <v>0</v>
      </c>
      <c r="F224" s="35" cm="1">
        <f t="array" aca="1" ref="F224" ca="1">INDEX([1]Projects!$A$1:$F$305,CELL("row",F224),CELL("col",F224))</f>
        <v>0</v>
      </c>
    </row>
    <row r="225" spans="1:6" x14ac:dyDescent="0.3">
      <c r="A225" s="19"/>
      <c r="B225" s="35" cm="1">
        <f t="array" aca="1" ref="B225" ca="1">INDEX([1]Projects!$A$1:$F$305,CELL("row",B225),CELL("col",B225))</f>
        <v>0</v>
      </c>
      <c r="C225" s="35" cm="1">
        <f t="array" aca="1" ref="C225" ca="1">INDEX([1]Projects!$A$1:$F$305,CELL("row",C225),CELL("col",C225))</f>
        <v>0</v>
      </c>
      <c r="D225" s="35" cm="1">
        <f t="array" aca="1" ref="D225" ca="1">INDEX([1]Projects!$A$1:$F$305,CELL("row",D225),CELL("col",D225))</f>
        <v>0</v>
      </c>
      <c r="E225" s="35" cm="1">
        <f t="array" aca="1" ref="E225" ca="1">INDEX([1]Projects!$A$1:$F$305,CELL("row",E225),CELL("col",E225))</f>
        <v>0</v>
      </c>
      <c r="F225" s="35" cm="1">
        <f t="array" aca="1" ref="F225" ca="1">INDEX([1]Projects!$A$1:$F$305,CELL("row",F225),CELL("col",F225))</f>
        <v>0</v>
      </c>
    </row>
    <row r="226" spans="1:6" x14ac:dyDescent="0.3">
      <c r="A226" s="19"/>
      <c r="B226" s="35" cm="1">
        <f t="array" aca="1" ref="B226" ca="1">INDEX([1]Projects!$A$1:$F$305,CELL("row",B226),CELL("col",B226))</f>
        <v>0</v>
      </c>
      <c r="C226" s="35" cm="1">
        <f t="array" aca="1" ref="C226" ca="1">INDEX([1]Projects!$A$1:$F$305,CELL("row",C226),CELL("col",C226))</f>
        <v>0</v>
      </c>
      <c r="D226" s="35" cm="1">
        <f t="array" aca="1" ref="D226" ca="1">INDEX([1]Projects!$A$1:$F$305,CELL("row",D226),CELL("col",D226))</f>
        <v>0</v>
      </c>
      <c r="E226" s="35" cm="1">
        <f t="array" aca="1" ref="E226" ca="1">INDEX([1]Projects!$A$1:$F$305,CELL("row",E226),CELL("col",E226))</f>
        <v>0</v>
      </c>
      <c r="F226" s="35" cm="1">
        <f t="array" aca="1" ref="F226" ca="1">INDEX([1]Projects!$A$1:$F$305,CELL("row",F226),CELL("col",F226))</f>
        <v>0</v>
      </c>
    </row>
    <row r="227" spans="1:6" x14ac:dyDescent="0.3">
      <c r="A227" s="19"/>
      <c r="B227" s="35" cm="1">
        <f t="array" aca="1" ref="B227" ca="1">INDEX([1]Projects!$A$1:$F$305,CELL("row",B227),CELL("col",B227))</f>
        <v>0</v>
      </c>
      <c r="C227" s="35" cm="1">
        <f t="array" aca="1" ref="C227" ca="1">INDEX([1]Projects!$A$1:$F$305,CELL("row",C227),CELL("col",C227))</f>
        <v>0</v>
      </c>
      <c r="D227" s="35" cm="1">
        <f t="array" aca="1" ref="D227" ca="1">INDEX([1]Projects!$A$1:$F$305,CELL("row",D227),CELL("col",D227))</f>
        <v>0</v>
      </c>
      <c r="E227" s="35" cm="1">
        <f t="array" aca="1" ref="E227" ca="1">INDEX([1]Projects!$A$1:$F$305,CELL("row",E227),CELL("col",E227))</f>
        <v>0</v>
      </c>
      <c r="F227" s="35" cm="1">
        <f t="array" aca="1" ref="F227" ca="1">INDEX([1]Projects!$A$1:$F$305,CELL("row",F227),CELL("col",F227))</f>
        <v>0</v>
      </c>
    </row>
    <row r="228" spans="1:6" x14ac:dyDescent="0.3">
      <c r="A228" s="19"/>
      <c r="B228" s="35" cm="1">
        <f t="array" aca="1" ref="B228" ca="1">INDEX([1]Projects!$A$1:$F$305,CELL("row",B228),CELL("col",B228))</f>
        <v>0</v>
      </c>
      <c r="C228" s="35" cm="1">
        <f t="array" aca="1" ref="C228" ca="1">INDEX([1]Projects!$A$1:$F$305,CELL("row",C228),CELL("col",C228))</f>
        <v>0</v>
      </c>
      <c r="D228" s="35" cm="1">
        <f t="array" aca="1" ref="D228" ca="1">INDEX([1]Projects!$A$1:$F$305,CELL("row",D228),CELL("col",D228))</f>
        <v>0</v>
      </c>
      <c r="E228" s="35" cm="1">
        <f t="array" aca="1" ref="E228" ca="1">INDEX([1]Projects!$A$1:$F$305,CELL("row",E228),CELL("col",E228))</f>
        <v>0</v>
      </c>
      <c r="F228" s="35" cm="1">
        <f t="array" aca="1" ref="F228" ca="1">INDEX([1]Projects!$A$1:$F$305,CELL("row",F228),CELL("col",F228))</f>
        <v>0</v>
      </c>
    </row>
    <row r="229" spans="1:6" x14ac:dyDescent="0.3">
      <c r="A229" s="19"/>
      <c r="B229" s="35" cm="1">
        <f t="array" aca="1" ref="B229" ca="1">INDEX([1]Projects!$A$1:$F$305,CELL("row",B229),CELL("col",B229))</f>
        <v>0</v>
      </c>
      <c r="C229" s="35" cm="1">
        <f t="array" aca="1" ref="C229" ca="1">INDEX([1]Projects!$A$1:$F$305,CELL("row",C229),CELL("col",C229))</f>
        <v>0</v>
      </c>
      <c r="D229" s="35" cm="1">
        <f t="array" aca="1" ref="D229" ca="1">INDEX([1]Projects!$A$1:$F$305,CELL("row",D229),CELL("col",D229))</f>
        <v>0</v>
      </c>
      <c r="E229" s="35" cm="1">
        <f t="array" aca="1" ref="E229" ca="1">INDEX([1]Projects!$A$1:$F$305,CELL("row",E229),CELL("col",E229))</f>
        <v>0</v>
      </c>
      <c r="F229" s="35" cm="1">
        <f t="array" aca="1" ref="F229" ca="1">INDEX([1]Projects!$A$1:$F$305,CELL("row",F229),CELL("col",F229))</f>
        <v>0</v>
      </c>
    </row>
    <row r="230" spans="1:6" x14ac:dyDescent="0.3">
      <c r="A230" s="19"/>
      <c r="B230" s="35" cm="1">
        <f t="array" aca="1" ref="B230" ca="1">INDEX([1]Projects!$A$1:$F$305,CELL("row",B230),CELL("col",B230))</f>
        <v>0</v>
      </c>
      <c r="C230" s="35" cm="1">
        <f t="array" aca="1" ref="C230" ca="1">INDEX([1]Projects!$A$1:$F$305,CELL("row",C230),CELL("col",C230))</f>
        <v>0</v>
      </c>
      <c r="D230" s="35" cm="1">
        <f t="array" aca="1" ref="D230" ca="1">INDEX([1]Projects!$A$1:$F$305,CELL("row",D230),CELL("col",D230))</f>
        <v>0</v>
      </c>
      <c r="E230" s="35" cm="1">
        <f t="array" aca="1" ref="E230" ca="1">INDEX([1]Projects!$A$1:$F$305,CELL("row",E230),CELL("col",E230))</f>
        <v>0</v>
      </c>
      <c r="F230" s="35" cm="1">
        <f t="array" aca="1" ref="F230" ca="1">INDEX([1]Projects!$A$1:$F$305,CELL("row",F230),CELL("col",F230))</f>
        <v>0</v>
      </c>
    </row>
    <row r="231" spans="1:6" x14ac:dyDescent="0.3">
      <c r="A231" s="19"/>
      <c r="B231" s="35" cm="1">
        <f t="array" aca="1" ref="B231" ca="1">INDEX([1]Projects!$A$1:$F$305,CELL("row",B231),CELL("col",B231))</f>
        <v>0</v>
      </c>
      <c r="C231" s="35" cm="1">
        <f t="array" aca="1" ref="C231" ca="1">INDEX([1]Projects!$A$1:$F$305,CELL("row",C231),CELL("col",C231))</f>
        <v>0</v>
      </c>
      <c r="D231" s="35" cm="1">
        <f t="array" aca="1" ref="D231" ca="1">INDEX([1]Projects!$A$1:$F$305,CELL("row",D231),CELL("col",D231))</f>
        <v>0</v>
      </c>
      <c r="E231" s="35" cm="1">
        <f t="array" aca="1" ref="E231" ca="1">INDEX([1]Projects!$A$1:$F$305,CELL("row",E231),CELL("col",E231))</f>
        <v>0</v>
      </c>
      <c r="F231" s="35" cm="1">
        <f t="array" aca="1" ref="F231" ca="1">INDEX([1]Projects!$A$1:$F$305,CELL("row",F231),CELL("col",F231))</f>
        <v>0</v>
      </c>
    </row>
    <row r="232" spans="1:6" x14ac:dyDescent="0.3">
      <c r="A232" s="19"/>
      <c r="B232" s="35" cm="1">
        <f t="array" aca="1" ref="B232" ca="1">INDEX([1]Projects!$A$1:$F$305,CELL("row",B232),CELL("col",B232))</f>
        <v>0</v>
      </c>
      <c r="C232" s="35" cm="1">
        <f t="array" aca="1" ref="C232" ca="1">INDEX([1]Projects!$A$1:$F$305,CELL("row",C232),CELL("col",C232))</f>
        <v>0</v>
      </c>
      <c r="D232" s="35" cm="1">
        <f t="array" aca="1" ref="D232" ca="1">INDEX([1]Projects!$A$1:$F$305,CELL("row",D232),CELL("col",D232))</f>
        <v>0</v>
      </c>
      <c r="E232" s="35" cm="1">
        <f t="array" aca="1" ref="E232" ca="1">INDEX([1]Projects!$A$1:$F$305,CELL("row",E232),CELL("col",E232))</f>
        <v>0</v>
      </c>
      <c r="F232" s="35" cm="1">
        <f t="array" aca="1" ref="F232" ca="1">INDEX([1]Projects!$A$1:$F$305,CELL("row",F232),CELL("col",F232))</f>
        <v>0</v>
      </c>
    </row>
    <row r="233" spans="1:6" x14ac:dyDescent="0.3">
      <c r="A233" s="19"/>
      <c r="B233" s="35" cm="1">
        <f t="array" aca="1" ref="B233" ca="1">INDEX([1]Projects!$A$1:$F$305,CELL("row",B233),CELL("col",B233))</f>
        <v>0</v>
      </c>
      <c r="C233" s="35" cm="1">
        <f t="array" aca="1" ref="C233" ca="1">INDEX([1]Projects!$A$1:$F$305,CELL("row",C233),CELL("col",C233))</f>
        <v>0</v>
      </c>
      <c r="D233" s="35" cm="1">
        <f t="array" aca="1" ref="D233" ca="1">INDEX([1]Projects!$A$1:$F$305,CELL("row",D233),CELL("col",D233))</f>
        <v>0</v>
      </c>
      <c r="E233" s="35" cm="1">
        <f t="array" aca="1" ref="E233" ca="1">INDEX([1]Projects!$A$1:$F$305,CELL("row",E233),CELL("col",E233))</f>
        <v>0</v>
      </c>
      <c r="F233" s="35" cm="1">
        <f t="array" aca="1" ref="F233" ca="1">INDEX([1]Projects!$A$1:$F$305,CELL("row",F233),CELL("col",F233))</f>
        <v>0</v>
      </c>
    </row>
    <row r="234" spans="1:6" x14ac:dyDescent="0.3">
      <c r="A234" s="19"/>
      <c r="B234" s="35" cm="1">
        <f t="array" aca="1" ref="B234" ca="1">INDEX([1]Projects!$A$1:$F$305,CELL("row",B234),CELL("col",B234))</f>
        <v>0</v>
      </c>
      <c r="C234" s="35" cm="1">
        <f t="array" aca="1" ref="C234" ca="1">INDEX([1]Projects!$A$1:$F$305,CELL("row",C234),CELL("col",C234))</f>
        <v>0</v>
      </c>
      <c r="D234" s="35" cm="1">
        <f t="array" aca="1" ref="D234" ca="1">INDEX([1]Projects!$A$1:$F$305,CELL("row",D234),CELL("col",D234))</f>
        <v>0</v>
      </c>
      <c r="E234" s="35" cm="1">
        <f t="array" aca="1" ref="E234" ca="1">INDEX([1]Projects!$A$1:$F$305,CELL("row",E234),CELL("col",E234))</f>
        <v>0</v>
      </c>
      <c r="F234" s="35" cm="1">
        <f t="array" aca="1" ref="F234" ca="1">INDEX([1]Projects!$A$1:$F$305,CELL("row",F234),CELL("col",F234))</f>
        <v>0</v>
      </c>
    </row>
    <row r="235" spans="1:6" x14ac:dyDescent="0.3">
      <c r="A235" s="19"/>
      <c r="B235" s="35" cm="1">
        <f t="array" aca="1" ref="B235" ca="1">INDEX([1]Projects!$A$1:$F$305,CELL("row",B235),CELL("col",B235))</f>
        <v>0</v>
      </c>
      <c r="C235" s="35" cm="1">
        <f t="array" aca="1" ref="C235" ca="1">INDEX([1]Projects!$A$1:$F$305,CELL("row",C235),CELL("col",C235))</f>
        <v>0</v>
      </c>
      <c r="D235" s="35" cm="1">
        <f t="array" aca="1" ref="D235" ca="1">INDEX([1]Projects!$A$1:$F$305,CELL("row",D235),CELL("col",D235))</f>
        <v>0</v>
      </c>
      <c r="E235" s="35" cm="1">
        <f t="array" aca="1" ref="E235" ca="1">INDEX([1]Projects!$A$1:$F$305,CELL("row",E235),CELL("col",E235))</f>
        <v>0</v>
      </c>
      <c r="F235" s="35" cm="1">
        <f t="array" aca="1" ref="F235" ca="1">INDEX([1]Projects!$A$1:$F$305,CELL("row",F235),CELL("col",F235))</f>
        <v>0</v>
      </c>
    </row>
    <row r="236" spans="1:6" x14ac:dyDescent="0.3">
      <c r="A236" s="19"/>
      <c r="B236" s="35" cm="1">
        <f t="array" aca="1" ref="B236" ca="1">INDEX([1]Projects!$A$1:$F$305,CELL("row",B236),CELL("col",B236))</f>
        <v>0</v>
      </c>
      <c r="C236" s="35" cm="1">
        <f t="array" aca="1" ref="C236" ca="1">INDEX([1]Projects!$A$1:$F$305,CELL("row",C236),CELL("col",C236))</f>
        <v>0</v>
      </c>
      <c r="D236" s="35" cm="1">
        <f t="array" aca="1" ref="D236" ca="1">INDEX([1]Projects!$A$1:$F$305,CELL("row",D236),CELL("col",D236))</f>
        <v>0</v>
      </c>
      <c r="E236" s="35" cm="1">
        <f t="array" aca="1" ref="E236" ca="1">INDEX([1]Projects!$A$1:$F$305,CELL("row",E236),CELL("col",E236))</f>
        <v>0</v>
      </c>
      <c r="F236" s="35" cm="1">
        <f t="array" aca="1" ref="F236" ca="1">INDEX([1]Projects!$A$1:$F$305,CELL("row",F236),CELL("col",F236))</f>
        <v>0</v>
      </c>
    </row>
    <row r="237" spans="1:6" x14ac:dyDescent="0.3">
      <c r="A237" s="19"/>
      <c r="B237" s="35" cm="1">
        <f t="array" aca="1" ref="B237" ca="1">INDEX([1]Projects!$A$1:$F$305,CELL("row",B237),CELL("col",B237))</f>
        <v>0</v>
      </c>
      <c r="C237" s="35" cm="1">
        <f t="array" aca="1" ref="C237" ca="1">INDEX([1]Projects!$A$1:$F$305,CELL("row",C237),CELL("col",C237))</f>
        <v>0</v>
      </c>
      <c r="D237" s="35" cm="1">
        <f t="array" aca="1" ref="D237" ca="1">INDEX([1]Projects!$A$1:$F$305,CELL("row",D237),CELL("col",D237))</f>
        <v>0</v>
      </c>
      <c r="E237" s="35" cm="1">
        <f t="array" aca="1" ref="E237" ca="1">INDEX([1]Projects!$A$1:$F$305,CELL("row",E237),CELL("col",E237))</f>
        <v>0</v>
      </c>
      <c r="F237" s="35" cm="1">
        <f t="array" aca="1" ref="F237" ca="1">INDEX([1]Projects!$A$1:$F$305,CELL("row",F237),CELL("col",F237))</f>
        <v>0</v>
      </c>
    </row>
    <row r="238" spans="1:6" x14ac:dyDescent="0.3">
      <c r="A238" s="19"/>
      <c r="B238" s="35" cm="1">
        <f t="array" aca="1" ref="B238" ca="1">INDEX([1]Projects!$A$1:$F$305,CELL("row",B238),CELL("col",B238))</f>
        <v>0</v>
      </c>
      <c r="C238" s="35" cm="1">
        <f t="array" aca="1" ref="C238" ca="1">INDEX([1]Projects!$A$1:$F$305,CELL("row",C238),CELL("col",C238))</f>
        <v>0</v>
      </c>
      <c r="D238" s="35" cm="1">
        <f t="array" aca="1" ref="D238" ca="1">INDEX([1]Projects!$A$1:$F$305,CELL("row",D238),CELL("col",D238))</f>
        <v>0</v>
      </c>
      <c r="E238" s="35" cm="1">
        <f t="array" aca="1" ref="E238" ca="1">INDEX([1]Projects!$A$1:$F$305,CELL("row",E238),CELL("col",E238))</f>
        <v>0</v>
      </c>
      <c r="F238" s="35" cm="1">
        <f t="array" aca="1" ref="F238" ca="1">INDEX([1]Projects!$A$1:$F$305,CELL("row",F238),CELL("col",F238))</f>
        <v>0</v>
      </c>
    </row>
    <row r="239" spans="1:6" x14ac:dyDescent="0.3">
      <c r="A239" s="19"/>
      <c r="B239" s="35" cm="1">
        <f t="array" aca="1" ref="B239" ca="1">INDEX([1]Projects!$A$1:$F$305,CELL("row",B239),CELL("col",B239))</f>
        <v>0</v>
      </c>
      <c r="C239" s="35" cm="1">
        <f t="array" aca="1" ref="C239" ca="1">INDEX([1]Projects!$A$1:$F$305,CELL("row",C239),CELL("col",C239))</f>
        <v>0</v>
      </c>
      <c r="D239" s="35" cm="1">
        <f t="array" aca="1" ref="D239" ca="1">INDEX([1]Projects!$A$1:$F$305,CELL("row",D239),CELL("col",D239))</f>
        <v>0</v>
      </c>
      <c r="E239" s="35" cm="1">
        <f t="array" aca="1" ref="E239" ca="1">INDEX([1]Projects!$A$1:$F$305,CELL("row",E239),CELL("col",E239))</f>
        <v>0</v>
      </c>
      <c r="F239" s="35" cm="1">
        <f t="array" aca="1" ref="F239" ca="1">INDEX([1]Projects!$A$1:$F$305,CELL("row",F239),CELL("col",F239))</f>
        <v>0</v>
      </c>
    </row>
    <row r="240" spans="1:6" x14ac:dyDescent="0.3">
      <c r="A240" s="19"/>
      <c r="B240" s="35" cm="1">
        <f t="array" aca="1" ref="B240" ca="1">INDEX([1]Projects!$A$1:$F$305,CELL("row",B240),CELL("col",B240))</f>
        <v>0</v>
      </c>
      <c r="C240" s="35" cm="1">
        <f t="array" aca="1" ref="C240" ca="1">INDEX([1]Projects!$A$1:$F$305,CELL("row",C240),CELL("col",C240))</f>
        <v>0</v>
      </c>
      <c r="D240" s="35" cm="1">
        <f t="array" aca="1" ref="D240" ca="1">INDEX([1]Projects!$A$1:$F$305,CELL("row",D240),CELL("col",D240))</f>
        <v>0</v>
      </c>
      <c r="E240" s="35" cm="1">
        <f t="array" aca="1" ref="E240" ca="1">INDEX([1]Projects!$A$1:$F$305,CELL("row",E240),CELL("col",E240))</f>
        <v>0</v>
      </c>
      <c r="F240" s="35" cm="1">
        <f t="array" aca="1" ref="F240" ca="1">INDEX([1]Projects!$A$1:$F$305,CELL("row",F240),CELL("col",F240))</f>
        <v>0</v>
      </c>
    </row>
    <row r="241" spans="1:6" x14ac:dyDescent="0.3">
      <c r="A241" s="19"/>
      <c r="B241" s="35" cm="1">
        <f t="array" aca="1" ref="B241" ca="1">INDEX([1]Projects!$A$1:$F$305,CELL("row",B241),CELL("col",B241))</f>
        <v>0</v>
      </c>
      <c r="C241" s="35" cm="1">
        <f t="array" aca="1" ref="C241" ca="1">INDEX([1]Projects!$A$1:$F$305,CELL("row",C241),CELL("col",C241))</f>
        <v>0</v>
      </c>
      <c r="D241" s="35" cm="1">
        <f t="array" aca="1" ref="D241" ca="1">INDEX([1]Projects!$A$1:$F$305,CELL("row",D241),CELL("col",D241))</f>
        <v>0</v>
      </c>
      <c r="E241" s="35" cm="1">
        <f t="array" aca="1" ref="E241" ca="1">INDEX([1]Projects!$A$1:$F$305,CELL("row",E241),CELL("col",E241))</f>
        <v>0</v>
      </c>
      <c r="F241" s="35" cm="1">
        <f t="array" aca="1" ref="F241" ca="1">INDEX([1]Projects!$A$1:$F$305,CELL("row",F241),CELL("col",F241))</f>
        <v>0</v>
      </c>
    </row>
    <row r="242" spans="1:6" x14ac:dyDescent="0.3">
      <c r="A242" s="19"/>
      <c r="B242" s="35" cm="1">
        <f t="array" aca="1" ref="B242" ca="1">INDEX([1]Projects!$A$1:$F$305,CELL("row",B242),CELL("col",B242))</f>
        <v>0</v>
      </c>
      <c r="C242" s="35" cm="1">
        <f t="array" aca="1" ref="C242" ca="1">INDEX([1]Projects!$A$1:$F$305,CELL("row",C242),CELL("col",C242))</f>
        <v>0</v>
      </c>
      <c r="D242" s="35" cm="1">
        <f t="array" aca="1" ref="D242" ca="1">INDEX([1]Projects!$A$1:$F$305,CELL("row",D242),CELL("col",D242))</f>
        <v>0</v>
      </c>
      <c r="E242" s="35" cm="1">
        <f t="array" aca="1" ref="E242" ca="1">INDEX([1]Projects!$A$1:$F$305,CELL("row",E242),CELL("col",E242))</f>
        <v>0</v>
      </c>
      <c r="F242" s="35" cm="1">
        <f t="array" aca="1" ref="F242" ca="1">INDEX([1]Projects!$A$1:$F$305,CELL("row",F242),CELL("col",F242))</f>
        <v>0</v>
      </c>
    </row>
    <row r="243" spans="1:6" x14ac:dyDescent="0.3">
      <c r="A243" s="19"/>
      <c r="B243" s="35" cm="1">
        <f t="array" aca="1" ref="B243" ca="1">INDEX([1]Projects!$A$1:$F$305,CELL("row",B243),CELL("col",B243))</f>
        <v>0</v>
      </c>
      <c r="C243" s="35" cm="1">
        <f t="array" aca="1" ref="C243" ca="1">INDEX([1]Projects!$A$1:$F$305,CELL("row",C243),CELL("col",C243))</f>
        <v>0</v>
      </c>
      <c r="D243" s="35" cm="1">
        <f t="array" aca="1" ref="D243" ca="1">INDEX([1]Projects!$A$1:$F$305,CELL("row",D243),CELL("col",D243))</f>
        <v>0</v>
      </c>
      <c r="E243" s="35" cm="1">
        <f t="array" aca="1" ref="E243" ca="1">INDEX([1]Projects!$A$1:$F$305,CELL("row",E243),CELL("col",E243))</f>
        <v>0</v>
      </c>
      <c r="F243" s="35" cm="1">
        <f t="array" aca="1" ref="F243" ca="1">INDEX([1]Projects!$A$1:$F$305,CELL("row",F243),CELL("col",F243))</f>
        <v>0</v>
      </c>
    </row>
    <row r="244" spans="1:6" x14ac:dyDescent="0.3">
      <c r="A244" s="19"/>
      <c r="B244" s="35" cm="1">
        <f t="array" aca="1" ref="B244" ca="1">INDEX([1]Projects!$A$1:$F$305,CELL("row",B244),CELL("col",B244))</f>
        <v>0</v>
      </c>
      <c r="C244" s="35" cm="1">
        <f t="array" aca="1" ref="C244" ca="1">INDEX([1]Projects!$A$1:$F$305,CELL("row",C244),CELL("col",C244))</f>
        <v>0</v>
      </c>
      <c r="D244" s="35" cm="1">
        <f t="array" aca="1" ref="D244" ca="1">INDEX([1]Projects!$A$1:$F$305,CELL("row",D244),CELL("col",D244))</f>
        <v>0</v>
      </c>
      <c r="E244" s="35" cm="1">
        <f t="array" aca="1" ref="E244" ca="1">INDEX([1]Projects!$A$1:$F$305,CELL("row",E244),CELL("col",E244))</f>
        <v>0</v>
      </c>
      <c r="F244" s="35" cm="1">
        <f t="array" aca="1" ref="F244" ca="1">INDEX([1]Projects!$A$1:$F$305,CELL("row",F244),CELL("col",F244))</f>
        <v>0</v>
      </c>
    </row>
    <row r="245" spans="1:6" x14ac:dyDescent="0.3">
      <c r="A245" s="19"/>
      <c r="B245" s="35" cm="1">
        <f t="array" aca="1" ref="B245" ca="1">INDEX([1]Projects!$A$1:$F$305,CELL("row",B245),CELL("col",B245))</f>
        <v>0</v>
      </c>
      <c r="C245" s="35" cm="1">
        <f t="array" aca="1" ref="C245" ca="1">INDEX([1]Projects!$A$1:$F$305,CELL("row",C245),CELL("col",C245))</f>
        <v>0</v>
      </c>
      <c r="D245" s="35" cm="1">
        <f t="array" aca="1" ref="D245" ca="1">INDEX([1]Projects!$A$1:$F$305,CELL("row",D245),CELL("col",D245))</f>
        <v>0</v>
      </c>
      <c r="E245" s="35" cm="1">
        <f t="array" aca="1" ref="E245" ca="1">INDEX([1]Projects!$A$1:$F$305,CELL("row",E245),CELL("col",E245))</f>
        <v>0</v>
      </c>
      <c r="F245" s="35" cm="1">
        <f t="array" aca="1" ref="F245" ca="1">INDEX([1]Projects!$A$1:$F$305,CELL("row",F245),CELL("col",F245))</f>
        <v>0</v>
      </c>
    </row>
    <row r="246" spans="1:6" x14ac:dyDescent="0.3">
      <c r="A246" s="19"/>
      <c r="B246" s="35" cm="1">
        <f t="array" aca="1" ref="B246" ca="1">INDEX([1]Projects!$A$1:$F$305,CELL("row",B246),CELL("col",B246))</f>
        <v>0</v>
      </c>
      <c r="C246" s="35" cm="1">
        <f t="array" aca="1" ref="C246" ca="1">INDEX([1]Projects!$A$1:$F$305,CELL("row",C246),CELL("col",C246))</f>
        <v>0</v>
      </c>
      <c r="D246" s="35" cm="1">
        <f t="array" aca="1" ref="D246" ca="1">INDEX([1]Projects!$A$1:$F$305,CELL("row",D246),CELL("col",D246))</f>
        <v>0</v>
      </c>
      <c r="E246" s="35" cm="1">
        <f t="array" aca="1" ref="E246" ca="1">INDEX([1]Projects!$A$1:$F$305,CELL("row",E246),CELL("col",E246))</f>
        <v>0</v>
      </c>
      <c r="F246" s="35" cm="1">
        <f t="array" aca="1" ref="F246" ca="1">INDEX([1]Projects!$A$1:$F$305,CELL("row",F246),CELL("col",F246))</f>
        <v>0</v>
      </c>
    </row>
    <row r="247" spans="1:6" x14ac:dyDescent="0.3">
      <c r="A247" s="19"/>
      <c r="B247" s="35" cm="1">
        <f t="array" aca="1" ref="B247" ca="1">INDEX([1]Projects!$A$1:$F$305,CELL("row",B247),CELL("col",B247))</f>
        <v>0</v>
      </c>
      <c r="C247" s="35" cm="1">
        <f t="array" aca="1" ref="C247" ca="1">INDEX([1]Projects!$A$1:$F$305,CELL("row",C247),CELL("col",C247))</f>
        <v>0</v>
      </c>
      <c r="D247" s="35" cm="1">
        <f t="array" aca="1" ref="D247" ca="1">INDEX([1]Projects!$A$1:$F$305,CELL("row",D247),CELL("col",D247))</f>
        <v>0</v>
      </c>
      <c r="E247" s="35" cm="1">
        <f t="array" aca="1" ref="E247" ca="1">INDEX([1]Projects!$A$1:$F$305,CELL("row",E247),CELL("col",E247))</f>
        <v>0</v>
      </c>
      <c r="F247" s="35" cm="1">
        <f t="array" aca="1" ref="F247" ca="1">INDEX([1]Projects!$A$1:$F$305,CELL("row",F247),CELL("col",F247))</f>
        <v>0</v>
      </c>
    </row>
    <row r="248" spans="1:6" x14ac:dyDescent="0.3">
      <c r="A248" s="19"/>
      <c r="B248" s="35" cm="1">
        <f t="array" aca="1" ref="B248" ca="1">INDEX([1]Projects!$A$1:$F$305,CELL("row",B248),CELL("col",B248))</f>
        <v>0</v>
      </c>
      <c r="C248" s="35" cm="1">
        <f t="array" aca="1" ref="C248" ca="1">INDEX([1]Projects!$A$1:$F$305,CELL("row",C248),CELL("col",C248))</f>
        <v>0</v>
      </c>
      <c r="D248" s="35" cm="1">
        <f t="array" aca="1" ref="D248" ca="1">INDEX([1]Projects!$A$1:$F$305,CELL("row",D248),CELL("col",D248))</f>
        <v>0</v>
      </c>
      <c r="E248" s="35" cm="1">
        <f t="array" aca="1" ref="E248" ca="1">INDEX([1]Projects!$A$1:$F$305,CELL("row",E248),CELL("col",E248))</f>
        <v>0</v>
      </c>
      <c r="F248" s="35" cm="1">
        <f t="array" aca="1" ref="F248" ca="1">INDEX([1]Projects!$A$1:$F$305,CELL("row",F248),CELL("col",F248))</f>
        <v>0</v>
      </c>
    </row>
    <row r="249" spans="1:6" x14ac:dyDescent="0.3">
      <c r="A249" s="19"/>
      <c r="B249" s="35" cm="1">
        <f t="array" aca="1" ref="B249" ca="1">INDEX([1]Projects!$A$1:$F$305,CELL("row",B249),CELL("col",B249))</f>
        <v>0</v>
      </c>
      <c r="C249" s="35" cm="1">
        <f t="array" aca="1" ref="C249" ca="1">INDEX([1]Projects!$A$1:$F$305,CELL("row",C249),CELL("col",C249))</f>
        <v>0</v>
      </c>
      <c r="D249" s="35" cm="1">
        <f t="array" aca="1" ref="D249" ca="1">INDEX([1]Projects!$A$1:$F$305,CELL("row",D249),CELL("col",D249))</f>
        <v>0</v>
      </c>
      <c r="E249" s="35" cm="1">
        <f t="array" aca="1" ref="E249" ca="1">INDEX([1]Projects!$A$1:$F$305,CELL("row",E249),CELL("col",E249))</f>
        <v>0</v>
      </c>
      <c r="F249" s="35" cm="1">
        <f t="array" aca="1" ref="F249" ca="1">INDEX([1]Projects!$A$1:$F$305,CELL("row",F249),CELL("col",F249))</f>
        <v>0</v>
      </c>
    </row>
    <row r="250" spans="1:6" x14ac:dyDescent="0.3">
      <c r="A250" s="19"/>
      <c r="B250" s="35" cm="1">
        <f t="array" aca="1" ref="B250" ca="1">INDEX([1]Projects!$A$1:$F$305,CELL("row",B250),CELL("col",B250))</f>
        <v>0</v>
      </c>
      <c r="C250" s="35" cm="1">
        <f t="array" aca="1" ref="C250" ca="1">INDEX([1]Projects!$A$1:$F$305,CELL("row",C250),CELL("col",C250))</f>
        <v>0</v>
      </c>
      <c r="D250" s="35" cm="1">
        <f t="array" aca="1" ref="D250" ca="1">INDEX([1]Projects!$A$1:$F$305,CELL("row",D250),CELL("col",D250))</f>
        <v>0</v>
      </c>
      <c r="E250" s="35" cm="1">
        <f t="array" aca="1" ref="E250" ca="1">INDEX([1]Projects!$A$1:$F$305,CELL("row",E250),CELL("col",E250))</f>
        <v>0</v>
      </c>
      <c r="F250" s="35" cm="1">
        <f t="array" aca="1" ref="F250" ca="1">INDEX([1]Projects!$A$1:$F$305,CELL("row",F250),CELL("col",F250))</f>
        <v>0</v>
      </c>
    </row>
    <row r="251" spans="1:6" x14ac:dyDescent="0.3">
      <c r="A251" s="19"/>
      <c r="B251" s="35" cm="1">
        <f t="array" aca="1" ref="B251" ca="1">INDEX([1]Projects!$A$1:$F$305,CELL("row",B251),CELL("col",B251))</f>
        <v>0</v>
      </c>
      <c r="C251" s="35" cm="1">
        <f t="array" aca="1" ref="C251" ca="1">INDEX([1]Projects!$A$1:$F$305,CELL("row",C251),CELL("col",C251))</f>
        <v>0</v>
      </c>
      <c r="D251" s="35" cm="1">
        <f t="array" aca="1" ref="D251" ca="1">INDEX([1]Projects!$A$1:$F$305,CELL("row",D251),CELL("col",D251))</f>
        <v>0</v>
      </c>
      <c r="E251" s="35" cm="1">
        <f t="array" aca="1" ref="E251" ca="1">INDEX([1]Projects!$A$1:$F$305,CELL("row",E251),CELL("col",E251))</f>
        <v>0</v>
      </c>
      <c r="F251" s="35" cm="1">
        <f t="array" aca="1" ref="F251" ca="1">INDEX([1]Projects!$A$1:$F$305,CELL("row",F251),CELL("col",F251))</f>
        <v>0</v>
      </c>
    </row>
    <row r="252" spans="1:6" x14ac:dyDescent="0.3">
      <c r="A252" s="19"/>
      <c r="B252" s="35" cm="1">
        <f t="array" aca="1" ref="B252" ca="1">INDEX([1]Projects!$A$1:$F$305,CELL("row",B252),CELL("col",B252))</f>
        <v>0</v>
      </c>
      <c r="C252" s="35" cm="1">
        <f t="array" aca="1" ref="C252" ca="1">INDEX([1]Projects!$A$1:$F$305,CELL("row",C252),CELL("col",C252))</f>
        <v>0</v>
      </c>
      <c r="D252" s="35" cm="1">
        <f t="array" aca="1" ref="D252" ca="1">INDEX([1]Projects!$A$1:$F$305,CELL("row",D252),CELL("col",D252))</f>
        <v>0</v>
      </c>
      <c r="E252" s="35" cm="1">
        <f t="array" aca="1" ref="E252" ca="1">INDEX([1]Projects!$A$1:$F$305,CELL("row",E252),CELL("col",E252))</f>
        <v>0</v>
      </c>
      <c r="F252" s="35" cm="1">
        <f t="array" aca="1" ref="F252" ca="1">INDEX([1]Projects!$A$1:$F$305,CELL("row",F252),CELL("col",F252))</f>
        <v>0</v>
      </c>
    </row>
    <row r="253" spans="1:6" x14ac:dyDescent="0.3">
      <c r="A253" s="19"/>
      <c r="B253" s="35" cm="1">
        <f t="array" aca="1" ref="B253" ca="1">INDEX([1]Projects!$A$1:$F$305,CELL("row",B253),CELL("col",B253))</f>
        <v>0</v>
      </c>
      <c r="C253" s="35" cm="1">
        <f t="array" aca="1" ref="C253" ca="1">INDEX([1]Projects!$A$1:$F$305,CELL("row",C253),CELL("col",C253))</f>
        <v>0</v>
      </c>
      <c r="D253" s="35" cm="1">
        <f t="array" aca="1" ref="D253" ca="1">INDEX([1]Projects!$A$1:$F$305,CELL("row",D253),CELL("col",D253))</f>
        <v>0</v>
      </c>
      <c r="E253" s="35" cm="1">
        <f t="array" aca="1" ref="E253" ca="1">INDEX([1]Projects!$A$1:$F$305,CELL("row",E253),CELL("col",E253))</f>
        <v>0</v>
      </c>
      <c r="F253" s="35" cm="1">
        <f t="array" aca="1" ref="F253" ca="1">INDEX([1]Projects!$A$1:$F$305,CELL("row",F253),CELL("col",F253))</f>
        <v>0</v>
      </c>
    </row>
    <row r="254" spans="1:6" x14ac:dyDescent="0.3">
      <c r="A254" s="19"/>
      <c r="B254" s="35" cm="1">
        <f t="array" aca="1" ref="B254" ca="1">INDEX([1]Projects!$A$1:$F$305,CELL("row",B254),CELL("col",B254))</f>
        <v>0</v>
      </c>
      <c r="C254" s="35" cm="1">
        <f t="array" aca="1" ref="C254" ca="1">INDEX([1]Projects!$A$1:$F$305,CELL("row",C254),CELL("col",C254))</f>
        <v>0</v>
      </c>
      <c r="D254" s="35" cm="1">
        <f t="array" aca="1" ref="D254" ca="1">INDEX([1]Projects!$A$1:$F$305,CELL("row",D254),CELL("col",D254))</f>
        <v>0</v>
      </c>
      <c r="E254" s="35" cm="1">
        <f t="array" aca="1" ref="E254" ca="1">INDEX([1]Projects!$A$1:$F$305,CELL("row",E254),CELL("col",E254))</f>
        <v>0</v>
      </c>
      <c r="F254" s="35" cm="1">
        <f t="array" aca="1" ref="F254" ca="1">INDEX([1]Projects!$A$1:$F$305,CELL("row",F254),CELL("col",F254))</f>
        <v>0</v>
      </c>
    </row>
    <row r="255" spans="1:6" x14ac:dyDescent="0.3">
      <c r="A255" s="19"/>
      <c r="B255" s="35" cm="1">
        <f t="array" aca="1" ref="B255" ca="1">INDEX([1]Projects!$A$1:$F$305,CELL("row",B255),CELL("col",B255))</f>
        <v>0</v>
      </c>
      <c r="C255" s="35" cm="1">
        <f t="array" aca="1" ref="C255" ca="1">INDEX([1]Projects!$A$1:$F$305,CELL("row",C255),CELL("col",C255))</f>
        <v>0</v>
      </c>
      <c r="D255" s="35" cm="1">
        <f t="array" aca="1" ref="D255" ca="1">INDEX([1]Projects!$A$1:$F$305,CELL("row",D255),CELL("col",D255))</f>
        <v>0</v>
      </c>
      <c r="E255" s="35" cm="1">
        <f t="array" aca="1" ref="E255" ca="1">INDEX([1]Projects!$A$1:$F$305,CELL("row",E255),CELL("col",E255))</f>
        <v>0</v>
      </c>
      <c r="F255" s="35" cm="1">
        <f t="array" aca="1" ref="F255" ca="1">INDEX([1]Projects!$A$1:$F$305,CELL("row",F255),CELL("col",F255))</f>
        <v>0</v>
      </c>
    </row>
    <row r="256" spans="1:6" x14ac:dyDescent="0.3">
      <c r="A256" s="19"/>
      <c r="B256" s="35" cm="1">
        <f t="array" aca="1" ref="B256" ca="1">INDEX([1]Projects!$A$1:$F$305,CELL("row",B256),CELL("col",B256))</f>
        <v>0</v>
      </c>
      <c r="C256" s="35" cm="1">
        <f t="array" aca="1" ref="C256" ca="1">INDEX([1]Projects!$A$1:$F$305,CELL("row",C256),CELL("col",C256))</f>
        <v>0</v>
      </c>
      <c r="D256" s="35" cm="1">
        <f t="array" aca="1" ref="D256" ca="1">INDEX([1]Projects!$A$1:$F$305,CELL("row",D256),CELL("col",D256))</f>
        <v>0</v>
      </c>
      <c r="E256" s="35" cm="1">
        <f t="array" aca="1" ref="E256" ca="1">INDEX([1]Projects!$A$1:$F$305,CELL("row",E256),CELL("col",E256))</f>
        <v>0</v>
      </c>
      <c r="F256" s="35" cm="1">
        <f t="array" aca="1" ref="F256" ca="1">INDEX([1]Projects!$A$1:$F$305,CELL("row",F256),CELL("col",F256))</f>
        <v>0</v>
      </c>
    </row>
    <row r="257" spans="1:6" x14ac:dyDescent="0.3">
      <c r="A257" s="19"/>
      <c r="B257" s="35" cm="1">
        <f t="array" aca="1" ref="B257" ca="1">INDEX([1]Projects!$A$1:$F$305,CELL("row",B257),CELL("col",B257))</f>
        <v>0</v>
      </c>
      <c r="C257" s="35" cm="1">
        <f t="array" aca="1" ref="C257" ca="1">INDEX([1]Projects!$A$1:$F$305,CELL("row",C257),CELL("col",C257))</f>
        <v>0</v>
      </c>
      <c r="D257" s="35" cm="1">
        <f t="array" aca="1" ref="D257" ca="1">INDEX([1]Projects!$A$1:$F$305,CELL("row",D257),CELL("col",D257))</f>
        <v>0</v>
      </c>
      <c r="E257" s="35" cm="1">
        <f t="array" aca="1" ref="E257" ca="1">INDEX([1]Projects!$A$1:$F$305,CELL("row",E257),CELL("col",E257))</f>
        <v>0</v>
      </c>
      <c r="F257" s="35" cm="1">
        <f t="array" aca="1" ref="F257" ca="1">INDEX([1]Projects!$A$1:$F$305,CELL("row",F257),CELL("col",F257))</f>
        <v>0</v>
      </c>
    </row>
    <row r="258" spans="1:6" x14ac:dyDescent="0.3">
      <c r="A258" s="19"/>
      <c r="B258" s="35" cm="1">
        <f t="array" aca="1" ref="B258" ca="1">INDEX([1]Projects!$A$1:$F$305,CELL("row",B258),CELL("col",B258))</f>
        <v>0</v>
      </c>
      <c r="C258" s="35" cm="1">
        <f t="array" aca="1" ref="C258" ca="1">INDEX([1]Projects!$A$1:$F$305,CELL("row",C258),CELL("col",C258))</f>
        <v>0</v>
      </c>
      <c r="D258" s="35" cm="1">
        <f t="array" aca="1" ref="D258" ca="1">INDEX([1]Projects!$A$1:$F$305,CELL("row",D258),CELL("col",D258))</f>
        <v>0</v>
      </c>
      <c r="E258" s="35" cm="1">
        <f t="array" aca="1" ref="E258" ca="1">INDEX([1]Projects!$A$1:$F$305,CELL("row",E258),CELL("col",E258))</f>
        <v>0</v>
      </c>
      <c r="F258" s="35" cm="1">
        <f t="array" aca="1" ref="F258" ca="1">INDEX([1]Projects!$A$1:$F$305,CELL("row",F258),CELL("col",F258))</f>
        <v>0</v>
      </c>
    </row>
    <row r="259" spans="1:6" x14ac:dyDescent="0.3">
      <c r="A259" s="19"/>
      <c r="B259" s="35" cm="1">
        <f t="array" aca="1" ref="B259" ca="1">INDEX([1]Projects!$A$1:$F$305,CELL("row",B259),CELL("col",B259))</f>
        <v>0</v>
      </c>
      <c r="C259" s="35" cm="1">
        <f t="array" aca="1" ref="C259" ca="1">INDEX([1]Projects!$A$1:$F$305,CELL("row",C259),CELL("col",C259))</f>
        <v>0</v>
      </c>
      <c r="D259" s="35" cm="1">
        <f t="array" aca="1" ref="D259" ca="1">INDEX([1]Projects!$A$1:$F$305,CELL("row",D259),CELL("col",D259))</f>
        <v>0</v>
      </c>
      <c r="E259" s="35" cm="1">
        <f t="array" aca="1" ref="E259" ca="1">INDEX([1]Projects!$A$1:$F$305,CELL("row",E259),CELL("col",E259))</f>
        <v>0</v>
      </c>
      <c r="F259" s="35" cm="1">
        <f t="array" aca="1" ref="F259" ca="1">INDEX([1]Projects!$A$1:$F$305,CELL("row",F259),CELL("col",F259))</f>
        <v>0</v>
      </c>
    </row>
    <row r="260" spans="1:6" x14ac:dyDescent="0.3">
      <c r="A260" s="19"/>
      <c r="B260" s="35" cm="1">
        <f t="array" aca="1" ref="B260" ca="1">INDEX([1]Projects!$A$1:$F$305,CELL("row",B260),CELL("col",B260))</f>
        <v>0</v>
      </c>
      <c r="C260" s="35" cm="1">
        <f t="array" aca="1" ref="C260" ca="1">INDEX([1]Projects!$A$1:$F$305,CELL("row",C260),CELL("col",C260))</f>
        <v>0</v>
      </c>
      <c r="D260" s="35" cm="1">
        <f t="array" aca="1" ref="D260" ca="1">INDEX([1]Projects!$A$1:$F$305,CELL("row",D260),CELL("col",D260))</f>
        <v>0</v>
      </c>
      <c r="E260" s="35" cm="1">
        <f t="array" aca="1" ref="E260" ca="1">INDEX([1]Projects!$A$1:$F$305,CELL("row",E260),CELL("col",E260))</f>
        <v>0</v>
      </c>
      <c r="F260" s="35" cm="1">
        <f t="array" aca="1" ref="F260" ca="1">INDEX([1]Projects!$A$1:$F$305,CELL("row",F260),CELL("col",F260))</f>
        <v>0</v>
      </c>
    </row>
    <row r="261" spans="1:6" x14ac:dyDescent="0.3">
      <c r="A261" s="19"/>
      <c r="B261" s="35" cm="1">
        <f t="array" aca="1" ref="B261" ca="1">INDEX([1]Projects!$A$1:$F$305,CELL("row",B261),CELL("col",B261))</f>
        <v>0</v>
      </c>
      <c r="C261" s="35" cm="1">
        <f t="array" aca="1" ref="C261" ca="1">INDEX([1]Projects!$A$1:$F$305,CELL("row",C261),CELL("col",C261))</f>
        <v>0</v>
      </c>
      <c r="D261" s="35" cm="1">
        <f t="array" aca="1" ref="D261" ca="1">INDEX([1]Projects!$A$1:$F$305,CELL("row",D261),CELL("col",D261))</f>
        <v>0</v>
      </c>
      <c r="E261" s="35" cm="1">
        <f t="array" aca="1" ref="E261" ca="1">INDEX([1]Projects!$A$1:$F$305,CELL("row",E261),CELL("col",E261))</f>
        <v>0</v>
      </c>
      <c r="F261" s="35" cm="1">
        <f t="array" aca="1" ref="F261" ca="1">INDEX([1]Projects!$A$1:$F$305,CELL("row",F261),CELL("col",F261))</f>
        <v>0</v>
      </c>
    </row>
    <row r="262" spans="1:6" x14ac:dyDescent="0.3">
      <c r="A262" s="19"/>
      <c r="B262" s="35" cm="1">
        <f t="array" aca="1" ref="B262" ca="1">INDEX([1]Projects!$A$1:$F$305,CELL("row",B262),CELL("col",B262))</f>
        <v>0</v>
      </c>
      <c r="C262" s="35" cm="1">
        <f t="array" aca="1" ref="C262" ca="1">INDEX([1]Projects!$A$1:$F$305,CELL("row",C262),CELL("col",C262))</f>
        <v>0</v>
      </c>
      <c r="D262" s="35" cm="1">
        <f t="array" aca="1" ref="D262" ca="1">INDEX([1]Projects!$A$1:$F$305,CELL("row",D262),CELL("col",D262))</f>
        <v>0</v>
      </c>
      <c r="E262" s="35" cm="1">
        <f t="array" aca="1" ref="E262" ca="1">INDEX([1]Projects!$A$1:$F$305,CELL("row",E262),CELL("col",E262))</f>
        <v>0</v>
      </c>
      <c r="F262" s="35" cm="1">
        <f t="array" aca="1" ref="F262" ca="1">INDEX([1]Projects!$A$1:$F$305,CELL("row",F262),CELL("col",F262))</f>
        <v>0</v>
      </c>
    </row>
    <row r="263" spans="1:6" x14ac:dyDescent="0.3">
      <c r="A263" s="19"/>
      <c r="B263" s="35" cm="1">
        <f t="array" aca="1" ref="B263" ca="1">INDEX([1]Projects!$A$1:$F$305,CELL("row",B263),CELL("col",B263))</f>
        <v>0</v>
      </c>
      <c r="C263" s="35" cm="1">
        <f t="array" aca="1" ref="C263" ca="1">INDEX([1]Projects!$A$1:$F$305,CELL("row",C263),CELL("col",C263))</f>
        <v>0</v>
      </c>
      <c r="D263" s="35" cm="1">
        <f t="array" aca="1" ref="D263" ca="1">INDEX([1]Projects!$A$1:$F$305,CELL("row",D263),CELL("col",D263))</f>
        <v>0</v>
      </c>
      <c r="E263" s="35" cm="1">
        <f t="array" aca="1" ref="E263" ca="1">INDEX([1]Projects!$A$1:$F$305,CELL("row",E263),CELL("col",E263))</f>
        <v>0</v>
      </c>
      <c r="F263" s="35" cm="1">
        <f t="array" aca="1" ref="F263" ca="1">INDEX([1]Projects!$A$1:$F$305,CELL("row",F263),CELL("col",F263))</f>
        <v>0</v>
      </c>
    </row>
    <row r="264" spans="1:6" x14ac:dyDescent="0.3">
      <c r="A264" s="19"/>
      <c r="B264" s="35" cm="1">
        <f t="array" aca="1" ref="B264" ca="1">INDEX([1]Projects!$A$1:$F$305,CELL("row",B264),CELL("col",B264))</f>
        <v>0</v>
      </c>
      <c r="C264" s="35" cm="1">
        <f t="array" aca="1" ref="C264" ca="1">INDEX([1]Projects!$A$1:$F$305,CELL("row",C264),CELL("col",C264))</f>
        <v>0</v>
      </c>
      <c r="D264" s="35" cm="1">
        <f t="array" aca="1" ref="D264" ca="1">INDEX([1]Projects!$A$1:$F$305,CELL("row",D264),CELL("col",D264))</f>
        <v>0</v>
      </c>
      <c r="E264" s="35" cm="1">
        <f t="array" aca="1" ref="E264" ca="1">INDEX([1]Projects!$A$1:$F$305,CELL("row",E264),CELL("col",E264))</f>
        <v>0</v>
      </c>
      <c r="F264" s="35" cm="1">
        <f t="array" aca="1" ref="F264" ca="1">INDEX([1]Projects!$A$1:$F$305,CELL("row",F264),CELL("col",F264))</f>
        <v>0</v>
      </c>
    </row>
    <row r="265" spans="1:6" x14ac:dyDescent="0.3">
      <c r="A265" s="19"/>
      <c r="B265" s="35" cm="1">
        <f t="array" aca="1" ref="B265" ca="1">INDEX([1]Projects!$A$1:$F$305,CELL("row",B265),CELL("col",B265))</f>
        <v>0</v>
      </c>
      <c r="C265" s="35" cm="1">
        <f t="array" aca="1" ref="C265" ca="1">INDEX([1]Projects!$A$1:$F$305,CELL("row",C265),CELL("col",C265))</f>
        <v>0</v>
      </c>
      <c r="D265" s="35" cm="1">
        <f t="array" aca="1" ref="D265" ca="1">INDEX([1]Projects!$A$1:$F$305,CELL("row",D265),CELL("col",D265))</f>
        <v>0</v>
      </c>
      <c r="E265" s="35" cm="1">
        <f t="array" aca="1" ref="E265" ca="1">INDEX([1]Projects!$A$1:$F$305,CELL("row",E265),CELL("col",E265))</f>
        <v>0</v>
      </c>
      <c r="F265" s="35" cm="1">
        <f t="array" aca="1" ref="F265" ca="1">INDEX([1]Projects!$A$1:$F$305,CELL("row",F265),CELL("col",F265))</f>
        <v>0</v>
      </c>
    </row>
    <row r="266" spans="1:6" x14ac:dyDescent="0.3">
      <c r="A266" s="19"/>
      <c r="B266" s="35" cm="1">
        <f t="array" aca="1" ref="B266" ca="1">INDEX([1]Projects!$A$1:$F$305,CELL("row",B266),CELL("col",B266))</f>
        <v>0</v>
      </c>
      <c r="C266" s="35" cm="1">
        <f t="array" aca="1" ref="C266" ca="1">INDEX([1]Projects!$A$1:$F$305,CELL("row",C266),CELL("col",C266))</f>
        <v>0</v>
      </c>
      <c r="D266" s="35" cm="1">
        <f t="array" aca="1" ref="D266" ca="1">INDEX([1]Projects!$A$1:$F$305,CELL("row",D266),CELL("col",D266))</f>
        <v>0</v>
      </c>
      <c r="E266" s="35" cm="1">
        <f t="array" aca="1" ref="E266" ca="1">INDEX([1]Projects!$A$1:$F$305,CELL("row",E266),CELL("col",E266))</f>
        <v>0</v>
      </c>
      <c r="F266" s="35" cm="1">
        <f t="array" aca="1" ref="F266" ca="1">INDEX([1]Projects!$A$1:$F$305,CELL("row",F266),CELL("col",F266))</f>
        <v>0</v>
      </c>
    </row>
    <row r="267" spans="1:6" x14ac:dyDescent="0.3">
      <c r="A267" s="19"/>
      <c r="B267" s="35" cm="1">
        <f t="array" aca="1" ref="B267" ca="1">INDEX([1]Projects!$A$1:$F$305,CELL("row",B267),CELL("col",B267))</f>
        <v>0</v>
      </c>
      <c r="C267" s="35" cm="1">
        <f t="array" aca="1" ref="C267" ca="1">INDEX([1]Projects!$A$1:$F$305,CELL("row",C267),CELL("col",C267))</f>
        <v>0</v>
      </c>
      <c r="D267" s="35" cm="1">
        <f t="array" aca="1" ref="D267" ca="1">INDEX([1]Projects!$A$1:$F$305,CELL("row",D267),CELL("col",D267))</f>
        <v>0</v>
      </c>
      <c r="E267" s="35" cm="1">
        <f t="array" aca="1" ref="E267" ca="1">INDEX([1]Projects!$A$1:$F$305,CELL("row",E267),CELL("col",E267))</f>
        <v>0</v>
      </c>
      <c r="F267" s="35" cm="1">
        <f t="array" aca="1" ref="F267" ca="1">INDEX([1]Projects!$A$1:$F$305,CELL("row",F267),CELL("col",F267))</f>
        <v>0</v>
      </c>
    </row>
    <row r="268" spans="1:6" x14ac:dyDescent="0.3">
      <c r="A268" s="19"/>
      <c r="B268" s="35" cm="1">
        <f t="array" aca="1" ref="B268" ca="1">INDEX([1]Projects!$A$1:$F$305,CELL("row",B268),CELL("col",B268))</f>
        <v>0</v>
      </c>
      <c r="C268" s="35" cm="1">
        <f t="array" aca="1" ref="C268" ca="1">INDEX([1]Projects!$A$1:$F$305,CELL("row",C268),CELL("col",C268))</f>
        <v>0</v>
      </c>
      <c r="D268" s="35" cm="1">
        <f t="array" aca="1" ref="D268" ca="1">INDEX([1]Projects!$A$1:$F$305,CELL("row",D268),CELL("col",D268))</f>
        <v>0</v>
      </c>
      <c r="E268" s="35" cm="1">
        <f t="array" aca="1" ref="E268" ca="1">INDEX([1]Projects!$A$1:$F$305,CELL("row",E268),CELL("col",E268))</f>
        <v>0</v>
      </c>
      <c r="F268" s="35" cm="1">
        <f t="array" aca="1" ref="F268" ca="1">INDEX([1]Projects!$A$1:$F$305,CELL("row",F268),CELL("col",F268))</f>
        <v>0</v>
      </c>
    </row>
    <row r="269" spans="1:6" x14ac:dyDescent="0.3">
      <c r="A269" s="19"/>
      <c r="B269" s="35" cm="1">
        <f t="array" aca="1" ref="B269" ca="1">INDEX([1]Projects!$A$1:$F$305,CELL("row",B269),CELL("col",B269))</f>
        <v>0</v>
      </c>
      <c r="C269" s="35" cm="1">
        <f t="array" aca="1" ref="C269" ca="1">INDEX([1]Projects!$A$1:$F$305,CELL("row",C269),CELL("col",C269))</f>
        <v>0</v>
      </c>
      <c r="D269" s="35" cm="1">
        <f t="array" aca="1" ref="D269" ca="1">INDEX([1]Projects!$A$1:$F$305,CELL("row",D269),CELL("col",D269))</f>
        <v>0</v>
      </c>
      <c r="E269" s="35" cm="1">
        <f t="array" aca="1" ref="E269" ca="1">INDEX([1]Projects!$A$1:$F$305,CELL("row",E269),CELL("col",E269))</f>
        <v>0</v>
      </c>
      <c r="F269" s="35" cm="1">
        <f t="array" aca="1" ref="F269" ca="1">INDEX([1]Projects!$A$1:$F$305,CELL("row",F269),CELL("col",F269))</f>
        <v>0</v>
      </c>
    </row>
    <row r="270" spans="1:6" x14ac:dyDescent="0.3">
      <c r="A270" s="19"/>
      <c r="B270" s="35" cm="1">
        <f t="array" aca="1" ref="B270" ca="1">INDEX([1]Projects!$A$1:$F$305,CELL("row",B270),CELL("col",B270))</f>
        <v>0</v>
      </c>
      <c r="C270" s="35" cm="1">
        <f t="array" aca="1" ref="C270" ca="1">INDEX([1]Projects!$A$1:$F$305,CELL("row",C270),CELL("col",C270))</f>
        <v>0</v>
      </c>
      <c r="D270" s="35" cm="1">
        <f t="array" aca="1" ref="D270" ca="1">INDEX([1]Projects!$A$1:$F$305,CELL("row",D270),CELL("col",D270))</f>
        <v>0</v>
      </c>
      <c r="E270" s="35" cm="1">
        <f t="array" aca="1" ref="E270" ca="1">INDEX([1]Projects!$A$1:$F$305,CELL("row",E270),CELL("col",E270))</f>
        <v>0</v>
      </c>
      <c r="F270" s="35" cm="1">
        <f t="array" aca="1" ref="F270" ca="1">INDEX([1]Projects!$A$1:$F$305,CELL("row",F270),CELL("col",F270))</f>
        <v>0</v>
      </c>
    </row>
    <row r="271" spans="1:6" x14ac:dyDescent="0.3">
      <c r="A271" s="19"/>
      <c r="B271" s="35" cm="1">
        <f t="array" aca="1" ref="B271" ca="1">INDEX([1]Projects!$A$1:$F$305,CELL("row",B271),CELL("col",B271))</f>
        <v>0</v>
      </c>
      <c r="C271" s="35" cm="1">
        <f t="array" aca="1" ref="C271" ca="1">INDEX([1]Projects!$A$1:$F$305,CELL("row",C271),CELL("col",C271))</f>
        <v>0</v>
      </c>
      <c r="D271" s="35" cm="1">
        <f t="array" aca="1" ref="D271" ca="1">INDEX([1]Projects!$A$1:$F$305,CELL("row",D271),CELL("col",D271))</f>
        <v>0</v>
      </c>
      <c r="E271" s="35" cm="1">
        <f t="array" aca="1" ref="E271" ca="1">INDEX([1]Projects!$A$1:$F$305,CELL("row",E271),CELL("col",E271))</f>
        <v>0</v>
      </c>
      <c r="F271" s="35" cm="1">
        <f t="array" aca="1" ref="F271" ca="1">INDEX([1]Projects!$A$1:$F$305,CELL("row",F271),CELL("col",F271))</f>
        <v>0</v>
      </c>
    </row>
    <row r="272" spans="1:6" x14ac:dyDescent="0.3">
      <c r="A272" s="19"/>
      <c r="B272" s="35" cm="1">
        <f t="array" aca="1" ref="B272" ca="1">INDEX([1]Projects!$A$1:$F$305,CELL("row",B272),CELL("col",B272))</f>
        <v>0</v>
      </c>
      <c r="C272" s="35" cm="1">
        <f t="array" aca="1" ref="C272" ca="1">INDEX([1]Projects!$A$1:$F$305,CELL("row",C272),CELL("col",C272))</f>
        <v>0</v>
      </c>
      <c r="D272" s="35" cm="1">
        <f t="array" aca="1" ref="D272" ca="1">INDEX([1]Projects!$A$1:$F$305,CELL("row",D272),CELL("col",D272))</f>
        <v>0</v>
      </c>
      <c r="E272" s="35" cm="1">
        <f t="array" aca="1" ref="E272" ca="1">INDEX([1]Projects!$A$1:$F$305,CELL("row",E272),CELL("col",E272))</f>
        <v>0</v>
      </c>
      <c r="F272" s="35" cm="1">
        <f t="array" aca="1" ref="F272" ca="1">INDEX([1]Projects!$A$1:$F$305,CELL("row",F272),CELL("col",F272))</f>
        <v>0</v>
      </c>
    </row>
    <row r="273" spans="1:6" x14ac:dyDescent="0.3">
      <c r="A273" s="19"/>
      <c r="B273" s="35" cm="1">
        <f t="array" aca="1" ref="B273" ca="1">INDEX([1]Projects!$A$1:$F$305,CELL("row",B273),CELL("col",B273))</f>
        <v>0</v>
      </c>
      <c r="C273" s="35" cm="1">
        <f t="array" aca="1" ref="C273" ca="1">INDEX([1]Projects!$A$1:$F$305,CELL("row",C273),CELL("col",C273))</f>
        <v>0</v>
      </c>
      <c r="D273" s="35" cm="1">
        <f t="array" aca="1" ref="D273" ca="1">INDEX([1]Projects!$A$1:$F$305,CELL("row",D273),CELL("col",D273))</f>
        <v>0</v>
      </c>
      <c r="E273" s="35" cm="1">
        <f t="array" aca="1" ref="E273" ca="1">INDEX([1]Projects!$A$1:$F$305,CELL("row",E273),CELL("col",E273))</f>
        <v>0</v>
      </c>
      <c r="F273" s="35" cm="1">
        <f t="array" aca="1" ref="F273" ca="1">INDEX([1]Projects!$A$1:$F$305,CELL("row",F273),CELL("col",F273))</f>
        <v>0</v>
      </c>
    </row>
    <row r="274" spans="1:6" x14ac:dyDescent="0.3">
      <c r="A274" s="19"/>
      <c r="B274" s="35" cm="1">
        <f t="array" aca="1" ref="B274" ca="1">INDEX([1]Projects!$A$1:$F$305,CELL("row",B274),CELL("col",B274))</f>
        <v>0</v>
      </c>
      <c r="C274" s="35" cm="1">
        <f t="array" aca="1" ref="C274" ca="1">INDEX([1]Projects!$A$1:$F$305,CELL("row",C274),CELL("col",C274))</f>
        <v>0</v>
      </c>
      <c r="D274" s="35" cm="1">
        <f t="array" aca="1" ref="D274" ca="1">INDEX([1]Projects!$A$1:$F$305,CELL("row",D274),CELL("col",D274))</f>
        <v>0</v>
      </c>
      <c r="E274" s="35" cm="1">
        <f t="array" aca="1" ref="E274" ca="1">INDEX([1]Projects!$A$1:$F$305,CELL("row",E274),CELL("col",E274))</f>
        <v>0</v>
      </c>
      <c r="F274" s="35" cm="1">
        <f t="array" aca="1" ref="F274" ca="1">INDEX([1]Projects!$A$1:$F$305,CELL("row",F274),CELL("col",F274))</f>
        <v>0</v>
      </c>
    </row>
    <row r="275" spans="1:6" x14ac:dyDescent="0.3">
      <c r="A275" s="19"/>
      <c r="B275" s="35" cm="1">
        <f t="array" aca="1" ref="B275" ca="1">INDEX([1]Projects!$A$1:$F$305,CELL("row",B275),CELL("col",B275))</f>
        <v>0</v>
      </c>
      <c r="C275" s="35" cm="1">
        <f t="array" aca="1" ref="C275" ca="1">INDEX([1]Projects!$A$1:$F$305,CELL("row",C275),CELL("col",C275))</f>
        <v>0</v>
      </c>
      <c r="D275" s="35" cm="1">
        <f t="array" aca="1" ref="D275" ca="1">INDEX([1]Projects!$A$1:$F$305,CELL("row",D275),CELL("col",D275))</f>
        <v>0</v>
      </c>
      <c r="E275" s="35" cm="1">
        <f t="array" aca="1" ref="E275" ca="1">INDEX([1]Projects!$A$1:$F$305,CELL("row",E275),CELL("col",E275))</f>
        <v>0</v>
      </c>
      <c r="F275" s="35" cm="1">
        <f t="array" aca="1" ref="F275" ca="1">INDEX([1]Projects!$A$1:$F$305,CELL("row",F275),CELL("col",F275))</f>
        <v>0</v>
      </c>
    </row>
    <row r="276" spans="1:6" x14ac:dyDescent="0.3">
      <c r="A276" s="19"/>
      <c r="B276" s="35" cm="1">
        <f t="array" aca="1" ref="B276" ca="1">INDEX([1]Projects!$A$1:$F$305,CELL("row",B276),CELL("col",B276))</f>
        <v>0</v>
      </c>
      <c r="C276" s="35" cm="1">
        <f t="array" aca="1" ref="C276" ca="1">INDEX([1]Projects!$A$1:$F$305,CELL("row",C276),CELL("col",C276))</f>
        <v>0</v>
      </c>
      <c r="D276" s="35" cm="1">
        <f t="array" aca="1" ref="D276" ca="1">INDEX([1]Projects!$A$1:$F$305,CELL("row",D276),CELL("col",D276))</f>
        <v>0</v>
      </c>
      <c r="E276" s="35" cm="1">
        <f t="array" aca="1" ref="E276" ca="1">INDEX([1]Projects!$A$1:$F$305,CELL("row",E276),CELL("col",E276))</f>
        <v>0</v>
      </c>
      <c r="F276" s="35" cm="1">
        <f t="array" aca="1" ref="F276" ca="1">INDEX([1]Projects!$A$1:$F$305,CELL("row",F276),CELL("col",F276))</f>
        <v>0</v>
      </c>
    </row>
    <row r="277" spans="1:6" x14ac:dyDescent="0.3">
      <c r="A277" s="19"/>
      <c r="B277" s="35" cm="1">
        <f t="array" aca="1" ref="B277" ca="1">INDEX([1]Projects!$A$1:$F$305,CELL("row",B277),CELL("col",B277))</f>
        <v>0</v>
      </c>
      <c r="C277" s="35" cm="1">
        <f t="array" aca="1" ref="C277" ca="1">INDEX([1]Projects!$A$1:$F$305,CELL("row",C277),CELL("col",C277))</f>
        <v>0</v>
      </c>
      <c r="D277" s="35" cm="1">
        <f t="array" aca="1" ref="D277" ca="1">INDEX([1]Projects!$A$1:$F$305,CELL("row",D277),CELL("col",D277))</f>
        <v>0</v>
      </c>
      <c r="E277" s="35" cm="1">
        <f t="array" aca="1" ref="E277" ca="1">INDEX([1]Projects!$A$1:$F$305,CELL("row",E277),CELL("col",E277))</f>
        <v>0</v>
      </c>
      <c r="F277" s="35" cm="1">
        <f t="array" aca="1" ref="F277" ca="1">INDEX([1]Projects!$A$1:$F$305,CELL("row",F277),CELL("col",F277))</f>
        <v>0</v>
      </c>
    </row>
    <row r="278" spans="1:6" x14ac:dyDescent="0.3">
      <c r="A278" s="19"/>
      <c r="B278" s="35" cm="1">
        <f t="array" aca="1" ref="B278" ca="1">INDEX([1]Projects!$A$1:$F$305,CELL("row",B278),CELL("col",B278))</f>
        <v>0</v>
      </c>
      <c r="C278" s="35" cm="1">
        <f t="array" aca="1" ref="C278" ca="1">INDEX([1]Projects!$A$1:$F$305,CELL("row",C278),CELL("col",C278))</f>
        <v>0</v>
      </c>
      <c r="D278" s="35" cm="1">
        <f t="array" aca="1" ref="D278" ca="1">INDEX([1]Projects!$A$1:$F$305,CELL("row",D278),CELL("col",D278))</f>
        <v>0</v>
      </c>
      <c r="E278" s="35" cm="1">
        <f t="array" aca="1" ref="E278" ca="1">INDEX([1]Projects!$A$1:$F$305,CELL("row",E278),CELL("col",E278))</f>
        <v>0</v>
      </c>
      <c r="F278" s="35" cm="1">
        <f t="array" aca="1" ref="F278" ca="1">INDEX([1]Projects!$A$1:$F$305,CELL("row",F278),CELL("col",F278))</f>
        <v>0</v>
      </c>
    </row>
    <row r="279" spans="1:6" x14ac:dyDescent="0.3">
      <c r="B279" s="35" cm="1">
        <f t="array" aca="1" ref="B279" ca="1">INDEX([1]Projects!$A$1:$F$305,CELL("row",B279),CELL("col",B279))</f>
        <v>0</v>
      </c>
      <c r="C279" s="35" cm="1">
        <f t="array" aca="1" ref="C279" ca="1">INDEX([1]Projects!$A$1:$F$305,CELL("row",C279),CELL("col",C279))</f>
        <v>0</v>
      </c>
      <c r="D279" s="35" cm="1">
        <f t="array" aca="1" ref="D279" ca="1">INDEX([1]Projects!$A$1:$F$305,CELL("row",D279),CELL("col",D279))</f>
        <v>0</v>
      </c>
      <c r="E279" s="35" cm="1">
        <f t="array" aca="1" ref="E279" ca="1">INDEX([1]Projects!$A$1:$F$305,CELL("row",E279),CELL("col",E279))</f>
        <v>0</v>
      </c>
      <c r="F279" s="35" cm="1">
        <f t="array" aca="1" ref="F279" ca="1">INDEX([1]Projects!$A$1:$F$305,CELL("row",F279),CELL("col",F279))</f>
        <v>0</v>
      </c>
    </row>
    <row r="280" spans="1:6" x14ac:dyDescent="0.3">
      <c r="B280" s="35" cm="1">
        <f t="array" aca="1" ref="B280" ca="1">INDEX([1]Projects!$A$1:$F$305,CELL("row",B280),CELL("col",B280))</f>
        <v>0</v>
      </c>
      <c r="C280" s="35" cm="1">
        <f t="array" aca="1" ref="C280" ca="1">INDEX([1]Projects!$A$1:$F$305,CELL("row",C280),CELL("col",C280))</f>
        <v>0</v>
      </c>
      <c r="D280" s="35" cm="1">
        <f t="array" aca="1" ref="D280" ca="1">INDEX([1]Projects!$A$1:$F$305,CELL("row",D280),CELL("col",D280))</f>
        <v>0</v>
      </c>
      <c r="E280" s="35" cm="1">
        <f t="array" aca="1" ref="E280" ca="1">INDEX([1]Projects!$A$1:$F$305,CELL("row",E280),CELL("col",E280))</f>
        <v>0</v>
      </c>
      <c r="F280" s="35" cm="1">
        <f t="array" aca="1" ref="F280" ca="1">INDEX([1]Projects!$A$1:$F$305,CELL("row",F280),CELL("col",F280))</f>
        <v>0</v>
      </c>
    </row>
    <row r="281" spans="1:6" x14ac:dyDescent="0.3">
      <c r="B281" s="35" cm="1">
        <f t="array" aca="1" ref="B281" ca="1">INDEX([1]Projects!$A$1:$F$305,CELL("row",B281),CELL("col",B281))</f>
        <v>0</v>
      </c>
      <c r="C281" s="35" cm="1">
        <f t="array" aca="1" ref="C281" ca="1">INDEX([1]Projects!$A$1:$F$305,CELL("row",C281),CELL("col",C281))</f>
        <v>0</v>
      </c>
      <c r="D281" s="35" cm="1">
        <f t="array" aca="1" ref="D281" ca="1">INDEX([1]Projects!$A$1:$F$305,CELL("row",D281),CELL("col",D281))</f>
        <v>0</v>
      </c>
      <c r="E281" s="35" cm="1">
        <f t="array" aca="1" ref="E281" ca="1">INDEX([1]Projects!$A$1:$F$305,CELL("row",E281),CELL("col",E281))</f>
        <v>0</v>
      </c>
      <c r="F281" s="35" cm="1">
        <f t="array" aca="1" ref="F281" ca="1">INDEX([1]Projects!$A$1:$F$305,CELL("row",F281),CELL("col",F281))</f>
        <v>0</v>
      </c>
    </row>
    <row r="282" spans="1:6" x14ac:dyDescent="0.3">
      <c r="B282" s="35" cm="1">
        <f t="array" aca="1" ref="B282" ca="1">INDEX([1]Projects!$A$1:$F$305,CELL("row",B282),CELL("col",B282))</f>
        <v>0</v>
      </c>
      <c r="C282" s="35" cm="1">
        <f t="array" aca="1" ref="C282" ca="1">INDEX([1]Projects!$A$1:$F$305,CELL("row",C282),CELL("col",C282))</f>
        <v>0</v>
      </c>
      <c r="D282" s="35" cm="1">
        <f t="array" aca="1" ref="D282" ca="1">INDEX([1]Projects!$A$1:$F$305,CELL("row",D282),CELL("col",D282))</f>
        <v>0</v>
      </c>
      <c r="E282" s="35" cm="1">
        <f t="array" aca="1" ref="E282" ca="1">INDEX([1]Projects!$A$1:$F$305,CELL("row",E282),CELL("col",E282))</f>
        <v>0</v>
      </c>
      <c r="F282" s="35" cm="1">
        <f t="array" aca="1" ref="F282" ca="1">INDEX([1]Projects!$A$1:$F$305,CELL("row",F282),CELL("col",F282))</f>
        <v>0</v>
      </c>
    </row>
    <row r="283" spans="1:6" x14ac:dyDescent="0.3">
      <c r="B283" s="35" cm="1">
        <f t="array" aca="1" ref="B283" ca="1">INDEX([1]Projects!$A$1:$F$305,CELL("row",B283),CELL("col",B283))</f>
        <v>0</v>
      </c>
      <c r="C283" s="35" cm="1">
        <f t="array" aca="1" ref="C283" ca="1">INDEX([1]Projects!$A$1:$F$305,CELL("row",C283),CELL("col",C283))</f>
        <v>0</v>
      </c>
      <c r="D283" s="35" cm="1">
        <f t="array" aca="1" ref="D283" ca="1">INDEX([1]Projects!$A$1:$F$305,CELL("row",D283),CELL("col",D283))</f>
        <v>0</v>
      </c>
      <c r="E283" s="35" cm="1">
        <f t="array" aca="1" ref="E283" ca="1">INDEX([1]Projects!$A$1:$F$305,CELL("row",E283),CELL("col",E283))</f>
        <v>0</v>
      </c>
      <c r="F283" s="35" cm="1">
        <f t="array" aca="1" ref="F283" ca="1">INDEX([1]Projects!$A$1:$F$305,CELL("row",F283),CELL("col",F283))</f>
        <v>0</v>
      </c>
    </row>
    <row r="284" spans="1:6" x14ac:dyDescent="0.3">
      <c r="B284" s="35" cm="1">
        <f t="array" aca="1" ref="B284" ca="1">INDEX([1]Projects!$A$1:$F$305,CELL("row",B284),CELL("col",B284))</f>
        <v>0</v>
      </c>
      <c r="C284" s="35" cm="1">
        <f t="array" aca="1" ref="C284" ca="1">INDEX([1]Projects!$A$1:$F$305,CELL("row",C284),CELL("col",C284))</f>
        <v>0</v>
      </c>
      <c r="D284" s="35" cm="1">
        <f t="array" aca="1" ref="D284" ca="1">INDEX([1]Projects!$A$1:$F$305,CELL("row",D284),CELL("col",D284))</f>
        <v>0</v>
      </c>
      <c r="E284" s="35" cm="1">
        <f t="array" aca="1" ref="E284" ca="1">INDEX([1]Projects!$A$1:$F$305,CELL("row",E284),CELL("col",E284))</f>
        <v>0</v>
      </c>
      <c r="F284" s="35" cm="1">
        <f t="array" aca="1" ref="F284" ca="1">INDEX([1]Projects!$A$1:$F$305,CELL("row",F284),CELL("col",F284))</f>
        <v>0</v>
      </c>
    </row>
    <row r="285" spans="1:6" x14ac:dyDescent="0.3">
      <c r="B285" s="35" cm="1">
        <f t="array" aca="1" ref="B285" ca="1">INDEX([1]Projects!$A$1:$F$305,CELL("row",B285),CELL("col",B285))</f>
        <v>0</v>
      </c>
      <c r="C285" s="35" cm="1">
        <f t="array" aca="1" ref="C285" ca="1">INDEX([1]Projects!$A$1:$F$305,CELL("row",C285),CELL("col",C285))</f>
        <v>0</v>
      </c>
      <c r="D285" s="35" cm="1">
        <f t="array" aca="1" ref="D285" ca="1">INDEX([1]Projects!$A$1:$F$305,CELL("row",D285),CELL("col",D285))</f>
        <v>0</v>
      </c>
      <c r="E285" s="35" cm="1">
        <f t="array" aca="1" ref="E285" ca="1">INDEX([1]Projects!$A$1:$F$305,CELL("row",E285),CELL("col",E285))</f>
        <v>0</v>
      </c>
      <c r="F285" s="35" cm="1">
        <f t="array" aca="1" ref="F285" ca="1">INDEX([1]Projects!$A$1:$F$305,CELL("row",F285),CELL("col",F285))</f>
        <v>0</v>
      </c>
    </row>
    <row r="286" spans="1:6" x14ac:dyDescent="0.3">
      <c r="B286" s="35" cm="1">
        <f t="array" aca="1" ref="B286" ca="1">INDEX([1]Projects!$A$1:$F$305,CELL("row",B286),CELL("col",B286))</f>
        <v>0</v>
      </c>
      <c r="C286" s="35" cm="1">
        <f t="array" aca="1" ref="C286" ca="1">INDEX([1]Projects!$A$1:$F$305,CELL("row",C286),CELL("col",C286))</f>
        <v>0</v>
      </c>
      <c r="D286" s="35" cm="1">
        <f t="array" aca="1" ref="D286" ca="1">INDEX([1]Projects!$A$1:$F$305,CELL("row",D286),CELL("col",D286))</f>
        <v>0</v>
      </c>
      <c r="E286" s="35" cm="1">
        <f t="array" aca="1" ref="E286" ca="1">INDEX([1]Projects!$A$1:$F$305,CELL("row",E286),CELL("col",E286))</f>
        <v>0</v>
      </c>
      <c r="F286" s="35" cm="1">
        <f t="array" aca="1" ref="F286" ca="1">INDEX([1]Projects!$A$1:$F$305,CELL("row",F286),CELL("col",F286))</f>
        <v>0</v>
      </c>
    </row>
    <row r="287" spans="1:6" x14ac:dyDescent="0.3">
      <c r="B287" s="35" cm="1">
        <f t="array" aca="1" ref="B287" ca="1">INDEX([1]Projects!$A$1:$F$305,CELL("row",B287),CELL("col",B287))</f>
        <v>0</v>
      </c>
      <c r="C287" s="35" cm="1">
        <f t="array" aca="1" ref="C287" ca="1">INDEX([1]Projects!$A$1:$F$305,CELL("row",C287),CELL("col",C287))</f>
        <v>0</v>
      </c>
      <c r="D287" s="35" cm="1">
        <f t="array" aca="1" ref="D287" ca="1">INDEX([1]Projects!$A$1:$F$305,CELL("row",D287),CELL("col",D287))</f>
        <v>0</v>
      </c>
      <c r="E287" s="35" cm="1">
        <f t="array" aca="1" ref="E287" ca="1">INDEX([1]Projects!$A$1:$F$305,CELL("row",E287),CELL("col",E287))</f>
        <v>0</v>
      </c>
      <c r="F287" s="35" cm="1">
        <f t="array" aca="1" ref="F287" ca="1">INDEX([1]Projects!$A$1:$F$305,CELL("row",F287),CELL("col",F287))</f>
        <v>0</v>
      </c>
    </row>
    <row r="288" spans="1:6" x14ac:dyDescent="0.3">
      <c r="B288" s="35" cm="1">
        <f t="array" aca="1" ref="B288" ca="1">INDEX([1]Projects!$A$1:$F$305,CELL("row",B288),CELL("col",B288))</f>
        <v>0</v>
      </c>
      <c r="C288" s="35" cm="1">
        <f t="array" aca="1" ref="C288" ca="1">INDEX([1]Projects!$A$1:$F$305,CELL("row",C288),CELL("col",C288))</f>
        <v>0</v>
      </c>
      <c r="D288" s="35" cm="1">
        <f t="array" aca="1" ref="D288" ca="1">INDEX([1]Projects!$A$1:$F$305,CELL("row",D288),CELL("col",D288))</f>
        <v>0</v>
      </c>
      <c r="E288" s="35" cm="1">
        <f t="array" aca="1" ref="E288" ca="1">INDEX([1]Projects!$A$1:$F$305,CELL("row",E288),CELL("col",E288))</f>
        <v>0</v>
      </c>
      <c r="F288" s="35" cm="1">
        <f t="array" aca="1" ref="F288" ca="1">INDEX([1]Projects!$A$1:$F$305,CELL("row",F288),CELL("col",F288))</f>
        <v>0</v>
      </c>
    </row>
    <row r="289" spans="2:6" x14ac:dyDescent="0.3">
      <c r="B289" s="35" cm="1">
        <f t="array" aca="1" ref="B289" ca="1">INDEX([1]Projects!$A$1:$F$305,CELL("row",B289),CELL("col",B289))</f>
        <v>0</v>
      </c>
      <c r="C289" s="35" cm="1">
        <f t="array" aca="1" ref="C289" ca="1">INDEX([1]Projects!$A$1:$F$305,CELL("row",C289),CELL("col",C289))</f>
        <v>0</v>
      </c>
      <c r="D289" s="35" cm="1">
        <f t="array" aca="1" ref="D289" ca="1">INDEX([1]Projects!$A$1:$F$305,CELL("row",D289),CELL("col",D289))</f>
        <v>0</v>
      </c>
      <c r="E289" s="35" cm="1">
        <f t="array" aca="1" ref="E289" ca="1">INDEX([1]Projects!$A$1:$F$305,CELL("row",E289),CELL("col",E289))</f>
        <v>0</v>
      </c>
      <c r="F289" s="35" cm="1">
        <f t="array" aca="1" ref="F289" ca="1">INDEX([1]Projects!$A$1:$F$305,CELL("row",F289),CELL("col",F289))</f>
        <v>0</v>
      </c>
    </row>
    <row r="290" spans="2:6" x14ac:dyDescent="0.3">
      <c r="B290" s="35" cm="1">
        <f t="array" aca="1" ref="B290" ca="1">INDEX([1]Projects!$A$1:$F$305,CELL("row",B290),CELL("col",B290))</f>
        <v>0</v>
      </c>
      <c r="C290" s="35" cm="1">
        <f t="array" aca="1" ref="C290" ca="1">INDEX([1]Projects!$A$1:$F$305,CELL("row",C290),CELL("col",C290))</f>
        <v>0</v>
      </c>
      <c r="D290" s="35" cm="1">
        <f t="array" aca="1" ref="D290" ca="1">INDEX([1]Projects!$A$1:$F$305,CELL("row",D290),CELL("col",D290))</f>
        <v>0</v>
      </c>
      <c r="E290" s="35" cm="1">
        <f t="array" aca="1" ref="E290" ca="1">INDEX([1]Projects!$A$1:$F$305,CELL("row",E290),CELL("col",E290))</f>
        <v>0</v>
      </c>
      <c r="F290" s="35" cm="1">
        <f t="array" aca="1" ref="F290" ca="1">INDEX([1]Projects!$A$1:$F$305,CELL("row",F290),CELL("col",F290))</f>
        <v>0</v>
      </c>
    </row>
    <row r="291" spans="2:6" x14ac:dyDescent="0.3">
      <c r="B291" s="35" cm="1">
        <f t="array" aca="1" ref="B291" ca="1">INDEX([1]Projects!$A$1:$F$305,CELL("row",B291),CELL("col",B291))</f>
        <v>0</v>
      </c>
      <c r="C291" s="35" cm="1">
        <f t="array" aca="1" ref="C291" ca="1">INDEX([1]Projects!$A$1:$F$305,CELL("row",C291),CELL("col",C291))</f>
        <v>0</v>
      </c>
      <c r="D291" s="35" cm="1">
        <f t="array" aca="1" ref="D291" ca="1">INDEX([1]Projects!$A$1:$F$305,CELL("row",D291),CELL("col",D291))</f>
        <v>0</v>
      </c>
      <c r="E291" s="35" cm="1">
        <f t="array" aca="1" ref="E291" ca="1">INDEX([1]Projects!$A$1:$F$305,CELL("row",E291),CELL("col",E291))</f>
        <v>0</v>
      </c>
      <c r="F291" s="35" cm="1">
        <f t="array" aca="1" ref="F291" ca="1">INDEX([1]Projects!$A$1:$F$305,CELL("row",F291),CELL("col",F291))</f>
        <v>0</v>
      </c>
    </row>
    <row r="292" spans="2:6" x14ac:dyDescent="0.3">
      <c r="B292" s="35" cm="1">
        <f t="array" aca="1" ref="B292" ca="1">INDEX([1]Projects!$A$1:$F$305,CELL("row",B292),CELL("col",B292))</f>
        <v>0</v>
      </c>
      <c r="C292" s="35" cm="1">
        <f t="array" aca="1" ref="C292" ca="1">INDEX([1]Projects!$A$1:$F$305,CELL("row",C292),CELL("col",C292))</f>
        <v>0</v>
      </c>
      <c r="D292" s="35" cm="1">
        <f t="array" aca="1" ref="D292" ca="1">INDEX([1]Projects!$A$1:$F$305,CELL("row",D292),CELL("col",D292))</f>
        <v>0</v>
      </c>
      <c r="E292" s="35" cm="1">
        <f t="array" aca="1" ref="E292" ca="1">INDEX([1]Projects!$A$1:$F$305,CELL("row",E292),CELL("col",E292))</f>
        <v>0</v>
      </c>
      <c r="F292" s="35" cm="1">
        <f t="array" aca="1" ref="F292" ca="1">INDEX([1]Projects!$A$1:$F$305,CELL("row",F292),CELL("col",F292))</f>
        <v>0</v>
      </c>
    </row>
    <row r="293" spans="2:6" x14ac:dyDescent="0.3">
      <c r="B293" s="35" cm="1">
        <f t="array" aca="1" ref="B293" ca="1">INDEX([1]Projects!$A$1:$F$305,CELL("row",B293),CELL("col",B293))</f>
        <v>0</v>
      </c>
      <c r="C293" s="35" cm="1">
        <f t="array" aca="1" ref="C293" ca="1">INDEX([1]Projects!$A$1:$F$305,CELL("row",C293),CELL("col",C293))</f>
        <v>0</v>
      </c>
      <c r="D293" s="35" cm="1">
        <f t="array" aca="1" ref="D293" ca="1">INDEX([1]Projects!$A$1:$F$305,CELL("row",D293),CELL("col",D293))</f>
        <v>0</v>
      </c>
      <c r="E293" s="35" cm="1">
        <f t="array" aca="1" ref="E293" ca="1">INDEX([1]Projects!$A$1:$F$305,CELL("row",E293),CELL("col",E293))</f>
        <v>0</v>
      </c>
      <c r="F293" s="35" cm="1">
        <f t="array" aca="1" ref="F293" ca="1">INDEX([1]Projects!$A$1:$F$305,CELL("row",F293),CELL("col",F293))</f>
        <v>0</v>
      </c>
    </row>
    <row r="294" spans="2:6" x14ac:dyDescent="0.3">
      <c r="B294" s="35" cm="1">
        <f t="array" aca="1" ref="B294" ca="1">INDEX([1]Projects!$A$1:$F$305,CELL("row",B294),CELL("col",B294))</f>
        <v>0</v>
      </c>
      <c r="C294" s="35" cm="1">
        <f t="array" aca="1" ref="C294" ca="1">INDEX([1]Projects!$A$1:$F$305,CELL("row",C294),CELL("col",C294))</f>
        <v>0</v>
      </c>
      <c r="D294" s="35" cm="1">
        <f t="array" aca="1" ref="D294" ca="1">INDEX([1]Projects!$A$1:$F$305,CELL("row",D294),CELL("col",D294))</f>
        <v>0</v>
      </c>
      <c r="E294" s="35" cm="1">
        <f t="array" aca="1" ref="E294" ca="1">INDEX([1]Projects!$A$1:$F$305,CELL("row",E294),CELL("col",E294))</f>
        <v>0</v>
      </c>
      <c r="F294" s="35" cm="1">
        <f t="array" aca="1" ref="F294" ca="1">INDEX([1]Projects!$A$1:$F$305,CELL("row",F294),CELL("col",F294))</f>
        <v>0</v>
      </c>
    </row>
    <row r="295" spans="2:6" x14ac:dyDescent="0.3">
      <c r="B295" s="35" cm="1">
        <f t="array" aca="1" ref="B295" ca="1">INDEX([1]Projects!$A$1:$F$305,CELL("row",B295),CELL("col",B295))</f>
        <v>0</v>
      </c>
      <c r="C295" s="35" cm="1">
        <f t="array" aca="1" ref="C295" ca="1">INDEX([1]Projects!$A$1:$F$305,CELL("row",C295),CELL("col",C295))</f>
        <v>0</v>
      </c>
      <c r="D295" s="35" cm="1">
        <f t="array" aca="1" ref="D295" ca="1">INDEX([1]Projects!$A$1:$F$305,CELL("row",D295),CELL("col",D295))</f>
        <v>0</v>
      </c>
      <c r="E295" s="35" cm="1">
        <f t="array" aca="1" ref="E295" ca="1">INDEX([1]Projects!$A$1:$F$305,CELL("row",E295),CELL("col",E295))</f>
        <v>0</v>
      </c>
      <c r="F295" s="35" cm="1">
        <f t="array" aca="1" ref="F295" ca="1">INDEX([1]Projects!$A$1:$F$305,CELL("row",F295),CELL("col",F295))</f>
        <v>0</v>
      </c>
    </row>
    <row r="296" spans="2:6" x14ac:dyDescent="0.3">
      <c r="B296" s="35" cm="1">
        <f t="array" aca="1" ref="B296" ca="1">INDEX([1]Projects!$A$1:$F$305,CELL("row",B296),CELL("col",B296))</f>
        <v>0</v>
      </c>
      <c r="C296" s="35" cm="1">
        <f t="array" aca="1" ref="C296" ca="1">INDEX([1]Projects!$A$1:$F$305,CELL("row",C296),CELL("col",C296))</f>
        <v>0</v>
      </c>
      <c r="D296" s="35" cm="1">
        <f t="array" aca="1" ref="D296" ca="1">INDEX([1]Projects!$A$1:$F$305,CELL("row",D296),CELL("col",D296))</f>
        <v>0</v>
      </c>
      <c r="E296" s="35" cm="1">
        <f t="array" aca="1" ref="E296" ca="1">INDEX([1]Projects!$A$1:$F$305,CELL("row",E296),CELL("col",E296))</f>
        <v>0</v>
      </c>
      <c r="F296" s="35" cm="1">
        <f t="array" aca="1" ref="F296" ca="1">INDEX([1]Projects!$A$1:$F$305,CELL("row",F296),CELL("col",F296))</f>
        <v>0</v>
      </c>
    </row>
    <row r="297" spans="2:6" x14ac:dyDescent="0.3">
      <c r="B297" s="35" cm="1">
        <f t="array" aca="1" ref="B297" ca="1">INDEX([1]Projects!$A$1:$F$305,CELL("row",B297),CELL("col",B297))</f>
        <v>0</v>
      </c>
      <c r="C297" s="35" cm="1">
        <f t="array" aca="1" ref="C297" ca="1">INDEX([1]Projects!$A$1:$F$305,CELL("row",C297),CELL("col",C297))</f>
        <v>0</v>
      </c>
      <c r="D297" s="35" cm="1">
        <f t="array" aca="1" ref="D297" ca="1">INDEX([1]Projects!$A$1:$F$305,CELL("row",D297),CELL("col",D297))</f>
        <v>0</v>
      </c>
      <c r="E297" s="35" cm="1">
        <f t="array" aca="1" ref="E297" ca="1">INDEX([1]Projects!$A$1:$F$305,CELL("row",E297),CELL("col",E297))</f>
        <v>0</v>
      </c>
      <c r="F297" s="35" cm="1">
        <f t="array" aca="1" ref="F297" ca="1">INDEX([1]Projects!$A$1:$F$305,CELL("row",F297),CELL("col",F297))</f>
        <v>0</v>
      </c>
    </row>
    <row r="298" spans="2:6" x14ac:dyDescent="0.3">
      <c r="B298" s="35" cm="1">
        <f t="array" aca="1" ref="B298" ca="1">INDEX([1]Projects!$A$1:$F$305,CELL("row",B298),CELL("col",B298))</f>
        <v>0</v>
      </c>
      <c r="C298" s="35" cm="1">
        <f t="array" aca="1" ref="C298" ca="1">INDEX([1]Projects!$A$1:$F$305,CELL("row",C298),CELL("col",C298))</f>
        <v>0</v>
      </c>
      <c r="D298" s="35" cm="1">
        <f t="array" aca="1" ref="D298" ca="1">INDEX([1]Projects!$A$1:$F$305,CELL("row",D298),CELL("col",D298))</f>
        <v>0</v>
      </c>
      <c r="E298" s="35" cm="1">
        <f t="array" aca="1" ref="E298" ca="1">INDEX([1]Projects!$A$1:$F$305,CELL("row",E298),CELL("col",E298))</f>
        <v>0</v>
      </c>
      <c r="F298" s="35" cm="1">
        <f t="array" aca="1" ref="F298" ca="1">INDEX([1]Projects!$A$1:$F$305,CELL("row",F298),CELL("col",F298))</f>
        <v>0</v>
      </c>
    </row>
    <row r="299" spans="2:6" x14ac:dyDescent="0.3">
      <c r="B299" s="35" cm="1">
        <f t="array" aca="1" ref="B299" ca="1">INDEX([1]Projects!$A$1:$F$305,CELL("row",B299),CELL("col",B299))</f>
        <v>0</v>
      </c>
      <c r="C299" s="35" cm="1">
        <f t="array" aca="1" ref="C299" ca="1">INDEX([1]Projects!$A$1:$F$305,CELL("row",C299),CELL("col",C299))</f>
        <v>0</v>
      </c>
      <c r="D299" s="35" cm="1">
        <f t="array" aca="1" ref="D299" ca="1">INDEX([1]Projects!$A$1:$F$305,CELL("row",D299),CELL("col",D299))</f>
        <v>0</v>
      </c>
      <c r="E299" s="35" cm="1">
        <f t="array" aca="1" ref="E299" ca="1">INDEX([1]Projects!$A$1:$F$305,CELL("row",E299),CELL("col",E299))</f>
        <v>0</v>
      </c>
      <c r="F299" s="35" cm="1">
        <f t="array" aca="1" ref="F299" ca="1">INDEX([1]Projects!$A$1:$F$305,CELL("row",F299),CELL("col",F299))</f>
        <v>0</v>
      </c>
    </row>
    <row r="300" spans="2:6" x14ac:dyDescent="0.3">
      <c r="B300" s="35" cm="1">
        <f t="array" aca="1" ref="B300" ca="1">INDEX([1]Projects!$A$1:$F$305,CELL("row",B300),CELL("col",B300))</f>
        <v>0</v>
      </c>
      <c r="C300" s="35" cm="1">
        <f t="array" aca="1" ref="C300" ca="1">INDEX([1]Projects!$A$1:$F$305,CELL("row",C300),CELL("col",C300))</f>
        <v>0</v>
      </c>
      <c r="D300" s="35" cm="1">
        <f t="array" aca="1" ref="D300" ca="1">INDEX([1]Projects!$A$1:$F$305,CELL("row",D300),CELL("col",D300))</f>
        <v>0</v>
      </c>
      <c r="E300" s="35" cm="1">
        <f t="array" aca="1" ref="E300" ca="1">INDEX([1]Projects!$A$1:$F$305,CELL("row",E300),CELL("col",E300))</f>
        <v>0</v>
      </c>
      <c r="F300" s="35" cm="1">
        <f t="array" aca="1" ref="F300" ca="1">INDEX([1]Projects!$A$1:$F$305,CELL("row",F300),CELL("col",F300))</f>
        <v>0</v>
      </c>
    </row>
    <row r="301" spans="2:6" x14ac:dyDescent="0.3">
      <c r="B301" s="35" cm="1">
        <f t="array" aca="1" ref="B301" ca="1">INDEX([1]Projects!$A$1:$F$305,CELL("row",B301),CELL("col",B301))</f>
        <v>0</v>
      </c>
      <c r="C301" s="35" cm="1">
        <f t="array" aca="1" ref="C301" ca="1">INDEX([1]Projects!$A$1:$F$305,CELL("row",C301),CELL("col",C301))</f>
        <v>0</v>
      </c>
      <c r="D301" s="35" cm="1">
        <f t="array" aca="1" ref="D301" ca="1">INDEX([1]Projects!$A$1:$F$305,CELL("row",D301),CELL("col",D301))</f>
        <v>0</v>
      </c>
      <c r="E301" s="35" cm="1">
        <f t="array" aca="1" ref="E301" ca="1">INDEX([1]Projects!$A$1:$F$305,CELL("row",E301),CELL("col",E301))</f>
        <v>0</v>
      </c>
      <c r="F301" s="35" cm="1">
        <f t="array" aca="1" ref="F301" ca="1">INDEX([1]Projects!$A$1:$F$305,CELL("row",F301),CELL("col",F301))</f>
        <v>0</v>
      </c>
    </row>
    <row r="302" spans="2:6" x14ac:dyDescent="0.3">
      <c r="B302" s="35" cm="1">
        <f t="array" aca="1" ref="B302" ca="1">INDEX([1]Projects!$A$1:$F$305,CELL("row",B302),CELL("col",B302))</f>
        <v>0</v>
      </c>
      <c r="C302" s="35" cm="1">
        <f t="array" aca="1" ref="C302" ca="1">INDEX([1]Projects!$A$1:$F$305,CELL("row",C302),CELL("col",C302))</f>
        <v>0</v>
      </c>
      <c r="D302" s="35" cm="1">
        <f t="array" aca="1" ref="D302" ca="1">INDEX([1]Projects!$A$1:$F$305,CELL("row",D302),CELL("col",D302))</f>
        <v>0</v>
      </c>
      <c r="E302" s="35" cm="1">
        <f t="array" aca="1" ref="E302" ca="1">INDEX([1]Projects!$A$1:$F$305,CELL("row",E302),CELL("col",E302))</f>
        <v>0</v>
      </c>
      <c r="F302" s="35" cm="1">
        <f t="array" aca="1" ref="F302" ca="1">INDEX([1]Projects!$A$1:$F$305,CELL("row",F302),CELL("col",F302))</f>
        <v>0</v>
      </c>
    </row>
    <row r="303" spans="2:6" x14ac:dyDescent="0.3">
      <c r="B303" s="35"/>
      <c r="C303" s="35"/>
      <c r="D303" s="35"/>
      <c r="E303" s="35"/>
      <c r="F303" s="35"/>
    </row>
    <row r="304" spans="2:6" x14ac:dyDescent="0.3">
      <c r="B304" s="35"/>
      <c r="C304" s="35"/>
      <c r="D304" s="35"/>
      <c r="E304" s="35"/>
      <c r="F304" s="35"/>
    </row>
    <row r="305" spans="2:6" x14ac:dyDescent="0.3">
      <c r="B305" s="35"/>
      <c r="C305" s="35"/>
      <c r="D305" s="35"/>
      <c r="E305" s="35"/>
      <c r="F305" s="35"/>
    </row>
    <row r="306" spans="2:6" x14ac:dyDescent="0.3">
      <c r="B306" s="35"/>
      <c r="C306" s="35"/>
      <c r="D306" s="35"/>
      <c r="E306" s="35"/>
      <c r="F306" s="35"/>
    </row>
    <row r="307" spans="2:6" x14ac:dyDescent="0.3">
      <c r="B307" s="35"/>
      <c r="C307" s="35"/>
      <c r="D307" s="35"/>
      <c r="E307" s="35"/>
      <c r="F307" s="35"/>
    </row>
    <row r="308" spans="2:6" x14ac:dyDescent="0.3">
      <c r="B308" s="35"/>
      <c r="C308" s="35"/>
      <c r="D308" s="35"/>
      <c r="E308" s="35"/>
      <c r="F308" s="35"/>
    </row>
    <row r="309" spans="2:6" x14ac:dyDescent="0.3">
      <c r="B309" s="35"/>
      <c r="C309" s="35"/>
      <c r="D309" s="35"/>
      <c r="E309" s="35"/>
      <c r="F309" s="35"/>
    </row>
    <row r="310" spans="2:6" x14ac:dyDescent="0.3">
      <c r="B310" s="35"/>
      <c r="C310" s="35"/>
      <c r="D310" s="35"/>
      <c r="E310" s="35"/>
      <c r="F310" s="35"/>
    </row>
    <row r="311" spans="2:6" x14ac:dyDescent="0.3">
      <c r="B311" s="35"/>
      <c r="C311" s="35"/>
      <c r="D311" s="35"/>
      <c r="E311" s="35"/>
      <c r="F311" s="35"/>
    </row>
    <row r="312" spans="2:6" x14ac:dyDescent="0.3">
      <c r="B312" s="35"/>
      <c r="C312" s="35"/>
      <c r="D312" s="35"/>
      <c r="E312" s="35"/>
      <c r="F312" s="35"/>
    </row>
    <row r="313" spans="2:6" x14ac:dyDescent="0.3">
      <c r="B313" s="35"/>
      <c r="C313" s="35"/>
      <c r="D313" s="35"/>
      <c r="E313" s="35"/>
      <c r="F313" s="35"/>
    </row>
    <row r="314" spans="2:6" x14ac:dyDescent="0.3">
      <c r="B314" s="35"/>
      <c r="C314" s="35"/>
      <c r="D314" s="35"/>
      <c r="E314" s="35"/>
      <c r="F314" s="35"/>
    </row>
    <row r="315" spans="2:6" x14ac:dyDescent="0.3">
      <c r="B315" s="35"/>
      <c r="C315" s="35"/>
      <c r="D315" s="35"/>
      <c r="E315" s="35"/>
      <c r="F315" s="35"/>
    </row>
    <row r="316" spans="2:6" x14ac:dyDescent="0.3">
      <c r="B316" s="35"/>
      <c r="C316" s="35"/>
      <c r="D316" s="35"/>
      <c r="E316" s="35"/>
      <c r="F316" s="35"/>
    </row>
    <row r="317" spans="2:6" x14ac:dyDescent="0.3">
      <c r="B317" s="35"/>
      <c r="C317" s="35"/>
      <c r="D317" s="35"/>
      <c r="E317" s="35"/>
      <c r="F317" s="35"/>
    </row>
    <row r="318" spans="2:6" x14ac:dyDescent="0.3">
      <c r="B318" s="35"/>
      <c r="C318" s="35"/>
      <c r="D318" s="35"/>
      <c r="E318" s="35"/>
      <c r="F318" s="35"/>
    </row>
    <row r="319" spans="2:6" x14ac:dyDescent="0.3">
      <c r="B319" s="35"/>
      <c r="C319" s="35"/>
      <c r="D319" s="35"/>
      <c r="E319" s="35"/>
      <c r="F319" s="35"/>
    </row>
    <row r="320" spans="2:6" x14ac:dyDescent="0.3">
      <c r="B320" s="35"/>
      <c r="C320" s="35"/>
      <c r="D320" s="35"/>
      <c r="E320" s="35"/>
      <c r="F320" s="35"/>
    </row>
    <row r="321" spans="2:6" x14ac:dyDescent="0.3">
      <c r="B321" s="35"/>
      <c r="C321" s="35"/>
      <c r="D321" s="35"/>
      <c r="E321" s="35"/>
      <c r="F321" s="35"/>
    </row>
    <row r="322" spans="2:6" x14ac:dyDescent="0.3">
      <c r="B322" s="35"/>
      <c r="C322" s="35"/>
      <c r="D322" s="35"/>
      <c r="E322" s="35"/>
      <c r="F322" s="35"/>
    </row>
    <row r="323" spans="2:6" x14ac:dyDescent="0.3">
      <c r="B323" s="35"/>
      <c r="C323" s="35"/>
      <c r="D323" s="35"/>
      <c r="E323" s="35"/>
      <c r="F323" s="35"/>
    </row>
    <row r="324" spans="2:6" x14ac:dyDescent="0.3">
      <c r="B324" s="35"/>
      <c r="C324" s="35"/>
      <c r="D324" s="35"/>
      <c r="E324" s="35"/>
      <c r="F324" s="35"/>
    </row>
    <row r="325" spans="2:6" x14ac:dyDescent="0.3">
      <c r="B325" s="35"/>
      <c r="C325" s="35"/>
      <c r="D325" s="35"/>
      <c r="E325" s="35"/>
      <c r="F325" s="35"/>
    </row>
    <row r="326" spans="2:6" x14ac:dyDescent="0.3">
      <c r="B326" s="35"/>
      <c r="C326" s="35"/>
      <c r="D326" s="35"/>
      <c r="E326" s="35"/>
      <c r="F326" s="35"/>
    </row>
    <row r="327" spans="2:6" x14ac:dyDescent="0.3">
      <c r="B327" s="35"/>
      <c r="C327" s="35"/>
      <c r="D327" s="35"/>
      <c r="E327" s="35"/>
      <c r="F327" s="35"/>
    </row>
    <row r="328" spans="2:6" x14ac:dyDescent="0.3">
      <c r="B328" s="35"/>
      <c r="C328" s="35"/>
      <c r="D328" s="35"/>
      <c r="E328" s="35"/>
      <c r="F328" s="35"/>
    </row>
    <row r="329" spans="2:6" x14ac:dyDescent="0.3">
      <c r="B329" s="35"/>
      <c r="C329" s="35"/>
      <c r="D329" s="35"/>
      <c r="E329" s="35"/>
      <c r="F329" s="35"/>
    </row>
    <row r="330" spans="2:6" x14ac:dyDescent="0.3">
      <c r="B330" s="35"/>
      <c r="C330" s="35"/>
      <c r="D330" s="35"/>
      <c r="E330" s="35"/>
      <c r="F330" s="35"/>
    </row>
    <row r="331" spans="2:6" x14ac:dyDescent="0.3">
      <c r="B331" s="35"/>
      <c r="C331" s="35"/>
      <c r="D331" s="35"/>
      <c r="E331" s="35"/>
      <c r="F331" s="35"/>
    </row>
    <row r="332" spans="2:6" x14ac:dyDescent="0.3">
      <c r="B332" s="35"/>
      <c r="C332" s="35"/>
      <c r="D332" s="35"/>
      <c r="E332" s="35"/>
      <c r="F332" s="35"/>
    </row>
    <row r="333" spans="2:6" x14ac:dyDescent="0.3">
      <c r="B333" s="35"/>
      <c r="C333" s="35"/>
      <c r="D333" s="35"/>
      <c r="E333" s="35"/>
      <c r="F333" s="35"/>
    </row>
    <row r="334" spans="2:6" x14ac:dyDescent="0.3">
      <c r="B334" s="35"/>
      <c r="C334" s="35"/>
      <c r="D334" s="35"/>
      <c r="E334" s="35"/>
      <c r="F334" s="35"/>
    </row>
    <row r="335" spans="2:6" x14ac:dyDescent="0.3">
      <c r="B335" s="35"/>
      <c r="C335" s="35"/>
      <c r="D335" s="35"/>
      <c r="E335" s="35"/>
      <c r="F335" s="35"/>
    </row>
    <row r="336" spans="2:6" x14ac:dyDescent="0.3">
      <c r="B336" s="35"/>
      <c r="C336" s="35"/>
      <c r="D336" s="35"/>
      <c r="E336" s="35"/>
      <c r="F336" s="35"/>
    </row>
    <row r="337" spans="2:6" x14ac:dyDescent="0.3">
      <c r="B337" s="35"/>
      <c r="C337" s="35"/>
      <c r="D337" s="35"/>
      <c r="E337" s="35"/>
      <c r="F337" s="35"/>
    </row>
    <row r="338" spans="2:6" x14ac:dyDescent="0.3">
      <c r="B338" s="35"/>
      <c r="C338" s="35"/>
      <c r="D338" s="35"/>
      <c r="E338" s="35"/>
      <c r="F338" s="35"/>
    </row>
    <row r="339" spans="2:6" x14ac:dyDescent="0.3">
      <c r="B339" s="35"/>
      <c r="C339" s="35"/>
      <c r="D339" s="35"/>
      <c r="E339" s="35"/>
      <c r="F339" s="35"/>
    </row>
    <row r="340" spans="2:6" x14ac:dyDescent="0.3">
      <c r="B340" s="35"/>
      <c r="C340" s="35"/>
      <c r="D340" s="35"/>
      <c r="E340" s="35"/>
      <c r="F340" s="35"/>
    </row>
    <row r="341" spans="2:6" x14ac:dyDescent="0.3">
      <c r="B341" s="35"/>
      <c r="C341" s="35"/>
      <c r="D341" s="35"/>
      <c r="E341" s="35"/>
      <c r="F341" s="35"/>
    </row>
    <row r="342" spans="2:6" x14ac:dyDescent="0.3">
      <c r="B342" s="35"/>
      <c r="C342" s="35"/>
      <c r="D342" s="35"/>
      <c r="E342" s="35"/>
      <c r="F342" s="35"/>
    </row>
    <row r="343" spans="2:6" x14ac:dyDescent="0.3">
      <c r="B343" s="35"/>
      <c r="C343" s="35"/>
      <c r="D343" s="35"/>
      <c r="E343" s="35"/>
      <c r="F343" s="35"/>
    </row>
    <row r="344" spans="2:6" x14ac:dyDescent="0.3">
      <c r="B344" s="35"/>
      <c r="C344" s="35"/>
      <c r="D344" s="35"/>
      <c r="E344" s="35"/>
      <c r="F344" s="35"/>
    </row>
    <row r="345" spans="2:6" x14ac:dyDescent="0.3">
      <c r="B345" s="35"/>
      <c r="C345" s="35"/>
      <c r="D345" s="35"/>
      <c r="E345" s="35"/>
      <c r="F345" s="35"/>
    </row>
    <row r="346" spans="2:6" x14ac:dyDescent="0.3">
      <c r="B346" s="35"/>
      <c r="C346" s="35"/>
      <c r="D346" s="35"/>
      <c r="E346" s="35"/>
      <c r="F346" s="35"/>
    </row>
    <row r="347" spans="2:6" x14ac:dyDescent="0.3">
      <c r="B347" s="35"/>
      <c r="C347" s="35"/>
      <c r="D347" s="35"/>
      <c r="E347" s="35"/>
      <c r="F347" s="35"/>
    </row>
    <row r="348" spans="2:6" x14ac:dyDescent="0.3">
      <c r="B348" s="35"/>
      <c r="C348" s="35"/>
      <c r="D348" s="35"/>
      <c r="E348" s="35"/>
      <c r="F348" s="35"/>
    </row>
    <row r="349" spans="2:6" x14ac:dyDescent="0.3">
      <c r="B349" s="35"/>
      <c r="C349" s="35"/>
      <c r="D349" s="35"/>
      <c r="E349" s="35"/>
      <c r="F349" s="35"/>
    </row>
    <row r="350" spans="2:6" x14ac:dyDescent="0.3">
      <c r="B350" s="35"/>
      <c r="C350" s="35"/>
      <c r="D350" s="35"/>
      <c r="E350" s="35"/>
      <c r="F350" s="35"/>
    </row>
    <row r="351" spans="2:6" x14ac:dyDescent="0.3">
      <c r="B351" s="35"/>
      <c r="C351" s="35"/>
      <c r="D351" s="35"/>
      <c r="E351" s="35"/>
      <c r="F351" s="35"/>
    </row>
    <row r="352" spans="2:6" x14ac:dyDescent="0.3">
      <c r="B352" s="35"/>
      <c r="C352" s="35"/>
      <c r="D352" s="35"/>
      <c r="E352" s="35"/>
      <c r="F352" s="35"/>
    </row>
    <row r="353" spans="2:6" x14ac:dyDescent="0.3">
      <c r="B353" s="35"/>
      <c r="C353" s="35"/>
      <c r="D353" s="35"/>
      <c r="E353" s="35"/>
      <c r="F353" s="35"/>
    </row>
    <row r="354" spans="2:6" x14ac:dyDescent="0.3">
      <c r="B354" s="35"/>
      <c r="C354" s="35"/>
      <c r="D354" s="35"/>
      <c r="E354" s="35"/>
      <c r="F354" s="35"/>
    </row>
    <row r="355" spans="2:6" x14ac:dyDescent="0.3">
      <c r="B355" s="35"/>
      <c r="C355" s="35"/>
      <c r="D355" s="35"/>
      <c r="E355" s="35"/>
      <c r="F355" s="35"/>
    </row>
    <row r="356" spans="2:6" x14ac:dyDescent="0.3">
      <c r="B356" s="35"/>
      <c r="C356" s="35"/>
      <c r="D356" s="35"/>
      <c r="E356" s="35"/>
      <c r="F356" s="35"/>
    </row>
    <row r="357" spans="2:6" x14ac:dyDescent="0.3">
      <c r="B357" s="35"/>
      <c r="C357" s="35"/>
      <c r="D357" s="35"/>
      <c r="E357" s="35"/>
      <c r="F357" s="35"/>
    </row>
    <row r="358" spans="2:6" x14ac:dyDescent="0.3">
      <c r="B358" s="35"/>
      <c r="C358" s="35"/>
      <c r="D358" s="35"/>
      <c r="E358" s="35"/>
      <c r="F358" s="35"/>
    </row>
    <row r="359" spans="2:6" x14ac:dyDescent="0.3">
      <c r="B359" s="35"/>
      <c r="C359" s="35"/>
      <c r="D359" s="35"/>
      <c r="E359" s="35"/>
      <c r="F359" s="35"/>
    </row>
    <row r="360" spans="2:6" x14ac:dyDescent="0.3">
      <c r="B360" s="35"/>
      <c r="C360" s="35"/>
      <c r="D360" s="35"/>
      <c r="E360" s="35"/>
      <c r="F360" s="35"/>
    </row>
    <row r="361" spans="2:6" x14ac:dyDescent="0.3">
      <c r="B361" s="35"/>
      <c r="C361" s="35"/>
      <c r="D361" s="35"/>
      <c r="E361" s="35"/>
      <c r="F361" s="35"/>
    </row>
    <row r="362" spans="2:6" x14ac:dyDescent="0.3">
      <c r="B362" s="35"/>
      <c r="C362" s="35"/>
      <c r="D362" s="35"/>
      <c r="E362" s="35"/>
      <c r="F362" s="35"/>
    </row>
    <row r="363" spans="2:6" x14ac:dyDescent="0.3">
      <c r="B363" s="35"/>
      <c r="C363" s="35"/>
      <c r="D363" s="35"/>
      <c r="E363" s="35"/>
      <c r="F363" s="35"/>
    </row>
    <row r="364" spans="2:6" x14ac:dyDescent="0.3">
      <c r="B364" s="35"/>
      <c r="C364" s="35"/>
      <c r="D364" s="35"/>
      <c r="E364" s="35"/>
      <c r="F364" s="35"/>
    </row>
    <row r="365" spans="2:6" x14ac:dyDescent="0.3">
      <c r="B365" s="35"/>
      <c r="C365" s="35"/>
      <c r="D365" s="35"/>
      <c r="E365" s="35"/>
      <c r="F365" s="35"/>
    </row>
    <row r="366" spans="2:6" x14ac:dyDescent="0.3">
      <c r="B366" s="35"/>
      <c r="C366" s="35"/>
      <c r="D366" s="35"/>
      <c r="E366" s="35"/>
      <c r="F366" s="35"/>
    </row>
    <row r="367" spans="2:6" x14ac:dyDescent="0.3">
      <c r="B367" s="35"/>
      <c r="C367" s="35"/>
      <c r="D367" s="35"/>
      <c r="E367" s="35"/>
      <c r="F367" s="35"/>
    </row>
    <row r="368" spans="2:6" x14ac:dyDescent="0.3">
      <c r="B368" s="35"/>
      <c r="C368" s="35"/>
      <c r="D368" s="35"/>
      <c r="E368" s="35"/>
      <c r="F368" s="35"/>
    </row>
    <row r="369" spans="2:6" x14ac:dyDescent="0.3">
      <c r="B369" s="35"/>
      <c r="C369" s="35"/>
      <c r="D369" s="35"/>
      <c r="E369" s="35"/>
      <c r="F369" s="35"/>
    </row>
    <row r="370" spans="2:6" x14ac:dyDescent="0.3">
      <c r="B370" s="35"/>
      <c r="C370" s="35"/>
      <c r="D370" s="35"/>
      <c r="E370" s="35"/>
      <c r="F370" s="35"/>
    </row>
    <row r="371" spans="2:6" x14ac:dyDescent="0.3">
      <c r="B371" s="35"/>
      <c r="C371" s="35"/>
      <c r="D371" s="35"/>
      <c r="E371" s="35"/>
      <c r="F371" s="35"/>
    </row>
    <row r="372" spans="2:6" x14ac:dyDescent="0.3">
      <c r="B372" s="35"/>
      <c r="C372" s="35"/>
      <c r="D372" s="35"/>
      <c r="E372" s="35"/>
      <c r="F372" s="35"/>
    </row>
    <row r="373" spans="2:6" x14ac:dyDescent="0.3">
      <c r="B373" s="35"/>
      <c r="C373" s="35"/>
      <c r="D373" s="35"/>
      <c r="E373" s="35"/>
      <c r="F373" s="35"/>
    </row>
    <row r="374" spans="2:6" x14ac:dyDescent="0.3">
      <c r="B374" s="35"/>
      <c r="C374" s="35"/>
      <c r="D374" s="35"/>
      <c r="E374" s="35"/>
      <c r="F374" s="35"/>
    </row>
    <row r="375" spans="2:6" x14ac:dyDescent="0.3">
      <c r="B375" s="35"/>
      <c r="C375" s="35"/>
      <c r="D375" s="35"/>
      <c r="E375" s="35"/>
      <c r="F375" s="35"/>
    </row>
    <row r="376" spans="2:6" x14ac:dyDescent="0.3">
      <c r="B376" s="35"/>
      <c r="C376" s="35"/>
      <c r="D376" s="35"/>
      <c r="E376" s="35"/>
      <c r="F376" s="35"/>
    </row>
    <row r="377" spans="2:6" x14ac:dyDescent="0.3">
      <c r="B377" s="35"/>
      <c r="C377" s="35"/>
      <c r="D377" s="35"/>
      <c r="E377" s="35"/>
      <c r="F377" s="35"/>
    </row>
    <row r="378" spans="2:6" x14ac:dyDescent="0.3">
      <c r="B378" s="35"/>
      <c r="C378" s="35"/>
      <c r="D378" s="35"/>
      <c r="E378" s="35"/>
      <c r="F378" s="35"/>
    </row>
    <row r="379" spans="2:6" x14ac:dyDescent="0.3">
      <c r="B379" s="35"/>
      <c r="C379" s="35"/>
      <c r="D379" s="35"/>
      <c r="E379" s="35"/>
      <c r="F379" s="35"/>
    </row>
    <row r="380" spans="2:6" x14ac:dyDescent="0.3">
      <c r="B380" s="35"/>
      <c r="C380" s="35"/>
      <c r="D380" s="35"/>
      <c r="E380" s="35"/>
      <c r="F380" s="35"/>
    </row>
    <row r="381" spans="2:6" x14ac:dyDescent="0.3">
      <c r="B381" s="35"/>
      <c r="C381" s="35"/>
      <c r="D381" s="35"/>
      <c r="E381" s="35"/>
      <c r="F381" s="35"/>
    </row>
    <row r="382" spans="2:6" x14ac:dyDescent="0.3">
      <c r="B382" s="35"/>
      <c r="C382" s="35"/>
      <c r="D382" s="35"/>
      <c r="E382" s="35"/>
      <c r="F382" s="35"/>
    </row>
    <row r="383" spans="2:6" x14ac:dyDescent="0.3">
      <c r="B383" s="35"/>
      <c r="C383" s="35"/>
      <c r="D383" s="35"/>
      <c r="E383" s="35"/>
      <c r="F383" s="35"/>
    </row>
    <row r="384" spans="2:6" x14ac:dyDescent="0.3">
      <c r="B384" s="35"/>
      <c r="C384" s="35"/>
      <c r="D384" s="35"/>
      <c r="E384" s="35"/>
      <c r="F384" s="35"/>
    </row>
    <row r="385" spans="2:6" x14ac:dyDescent="0.3">
      <c r="B385" s="35"/>
      <c r="C385" s="35"/>
      <c r="D385" s="35"/>
      <c r="E385" s="35"/>
      <c r="F385" s="35"/>
    </row>
    <row r="386" spans="2:6" x14ac:dyDescent="0.3">
      <c r="B386" s="35"/>
      <c r="C386" s="35"/>
      <c r="D386" s="35"/>
      <c r="E386" s="35"/>
      <c r="F386" s="35"/>
    </row>
    <row r="387" spans="2:6" x14ac:dyDescent="0.3">
      <c r="B387" s="35"/>
      <c r="C387" s="35"/>
      <c r="D387" s="35"/>
      <c r="E387" s="35"/>
      <c r="F387" s="35"/>
    </row>
    <row r="388" spans="2:6" x14ac:dyDescent="0.3">
      <c r="B388" s="35"/>
      <c r="C388" s="35"/>
      <c r="D388" s="35"/>
      <c r="E388" s="35"/>
      <c r="F388" s="35"/>
    </row>
    <row r="389" spans="2:6" x14ac:dyDescent="0.3">
      <c r="B389" s="35"/>
      <c r="C389" s="35"/>
      <c r="D389" s="35"/>
      <c r="E389" s="35"/>
      <c r="F389" s="35"/>
    </row>
    <row r="390" spans="2:6" x14ac:dyDescent="0.3">
      <c r="B390" s="35"/>
      <c r="C390" s="35"/>
      <c r="D390" s="35"/>
      <c r="E390" s="35"/>
      <c r="F390" s="35"/>
    </row>
    <row r="391" spans="2:6" x14ac:dyDescent="0.3">
      <c r="B391" s="35"/>
      <c r="C391" s="35"/>
      <c r="D391" s="35"/>
      <c r="E391" s="35"/>
      <c r="F391" s="35"/>
    </row>
    <row r="392" spans="2:6" x14ac:dyDescent="0.3">
      <c r="B392" s="35"/>
      <c r="C392" s="35"/>
      <c r="D392" s="35"/>
      <c r="E392" s="35"/>
      <c r="F392" s="35"/>
    </row>
    <row r="393" spans="2:6" x14ac:dyDescent="0.3">
      <c r="B393" s="35"/>
      <c r="C393" s="35"/>
      <c r="D393" s="35"/>
      <c r="E393" s="35"/>
      <c r="F393" s="35"/>
    </row>
    <row r="394" spans="2:6" x14ac:dyDescent="0.3">
      <c r="B394" s="35"/>
      <c r="C394" s="35"/>
      <c r="D394" s="35"/>
      <c r="E394" s="35"/>
      <c r="F394" s="35"/>
    </row>
    <row r="395" spans="2:6" x14ac:dyDescent="0.3">
      <c r="B395" s="35"/>
      <c r="C395" s="35"/>
      <c r="D395" s="35"/>
      <c r="E395" s="35"/>
      <c r="F395" s="35"/>
    </row>
    <row r="396" spans="2:6" x14ac:dyDescent="0.3">
      <c r="B396" s="35"/>
      <c r="C396" s="35"/>
      <c r="D396" s="35"/>
      <c r="E396" s="35"/>
      <c r="F396" s="35"/>
    </row>
    <row r="397" spans="2:6" x14ac:dyDescent="0.3">
      <c r="B397" s="35"/>
      <c r="C397" s="35"/>
      <c r="D397" s="35"/>
      <c r="E397" s="35"/>
      <c r="F397" s="35"/>
    </row>
    <row r="398" spans="2:6" x14ac:dyDescent="0.3">
      <c r="B398" s="35"/>
      <c r="C398" s="35"/>
      <c r="D398" s="35"/>
      <c r="E398" s="35"/>
      <c r="F398" s="35"/>
    </row>
    <row r="399" spans="2:6" x14ac:dyDescent="0.3">
      <c r="B399" s="35"/>
      <c r="C399" s="35"/>
      <c r="D399" s="35"/>
      <c r="E399" s="35"/>
      <c r="F399" s="35"/>
    </row>
    <row r="400" spans="2:6" x14ac:dyDescent="0.3">
      <c r="B400" s="35"/>
      <c r="C400" s="35"/>
      <c r="D400" s="35"/>
      <c r="E400" s="35"/>
      <c r="F400" s="35"/>
    </row>
    <row r="401" spans="2:6" x14ac:dyDescent="0.3">
      <c r="B401" s="35"/>
      <c r="C401" s="35"/>
      <c r="D401" s="35"/>
      <c r="E401" s="35"/>
      <c r="F401" s="35"/>
    </row>
    <row r="402" spans="2:6" x14ac:dyDescent="0.3">
      <c r="B402" s="35"/>
      <c r="C402" s="35"/>
      <c r="D402" s="35"/>
      <c r="E402" s="35"/>
      <c r="F402" s="35"/>
    </row>
    <row r="403" spans="2:6" x14ac:dyDescent="0.3">
      <c r="B403" s="35"/>
      <c r="C403" s="35"/>
      <c r="D403" s="35"/>
      <c r="E403" s="35"/>
      <c r="F403" s="35"/>
    </row>
    <row r="404" spans="2:6" x14ac:dyDescent="0.3">
      <c r="B404" s="35"/>
      <c r="C404" s="35"/>
      <c r="D404" s="35"/>
      <c r="E404" s="35"/>
      <c r="F404" s="35"/>
    </row>
    <row r="405" spans="2:6" x14ac:dyDescent="0.3">
      <c r="B405" s="35"/>
      <c r="C405" s="35"/>
      <c r="D405" s="35"/>
      <c r="E405" s="35"/>
      <c r="F405" s="35"/>
    </row>
    <row r="406" spans="2:6" x14ac:dyDescent="0.3">
      <c r="B406" s="35"/>
      <c r="C406" s="35"/>
      <c r="D406" s="35"/>
      <c r="E406" s="35"/>
      <c r="F406" s="35"/>
    </row>
    <row r="407" spans="2:6" x14ac:dyDescent="0.3">
      <c r="B407" s="35"/>
      <c r="C407" s="35"/>
      <c r="D407" s="35"/>
      <c r="E407" s="35"/>
      <c r="F407" s="35"/>
    </row>
    <row r="408" spans="2:6" x14ac:dyDescent="0.3">
      <c r="B408" s="35"/>
      <c r="C408" s="35"/>
      <c r="D408" s="35"/>
      <c r="E408" s="35"/>
      <c r="F408" s="35"/>
    </row>
    <row r="409" spans="2:6" x14ac:dyDescent="0.3">
      <c r="B409" s="35"/>
      <c r="C409" s="35"/>
      <c r="D409" s="35"/>
      <c r="E409" s="35"/>
      <c r="F409" s="35"/>
    </row>
    <row r="410" spans="2:6" x14ac:dyDescent="0.3">
      <c r="B410" s="35"/>
      <c r="C410" s="35"/>
      <c r="D410" s="35"/>
      <c r="E410" s="35"/>
      <c r="F410" s="35"/>
    </row>
    <row r="411" spans="2:6" x14ac:dyDescent="0.3">
      <c r="B411" s="35"/>
      <c r="C411" s="35"/>
      <c r="D411" s="35"/>
      <c r="E411" s="35"/>
      <c r="F411" s="35"/>
    </row>
    <row r="412" spans="2:6" x14ac:dyDescent="0.3">
      <c r="B412" s="35"/>
      <c r="C412" s="35"/>
      <c r="D412" s="35"/>
      <c r="E412" s="35"/>
      <c r="F412" s="35"/>
    </row>
    <row r="413" spans="2:6" x14ac:dyDescent="0.3">
      <c r="B413" s="35"/>
      <c r="C413" s="35"/>
      <c r="D413" s="35"/>
      <c r="E413" s="35"/>
      <c r="F413" s="35"/>
    </row>
    <row r="414" spans="2:6" x14ac:dyDescent="0.3">
      <c r="B414" s="35"/>
      <c r="C414" s="35"/>
      <c r="D414" s="35"/>
      <c r="E414" s="35"/>
      <c r="F414" s="35"/>
    </row>
    <row r="415" spans="2:6" x14ac:dyDescent="0.3">
      <c r="B415" s="35"/>
      <c r="C415" s="35"/>
      <c r="D415" s="35"/>
      <c r="E415" s="35"/>
      <c r="F415" s="35"/>
    </row>
    <row r="416" spans="2:6" x14ac:dyDescent="0.3">
      <c r="B416" s="35"/>
      <c r="C416" s="35"/>
      <c r="D416" s="35"/>
      <c r="E416" s="35"/>
      <c r="F416" s="35"/>
    </row>
    <row r="417" spans="2:6" x14ac:dyDescent="0.3">
      <c r="B417" s="35"/>
      <c r="C417" s="35"/>
      <c r="D417" s="35"/>
      <c r="E417" s="35"/>
      <c r="F417" s="35"/>
    </row>
    <row r="418" spans="2:6" x14ac:dyDescent="0.3">
      <c r="B418" s="35"/>
      <c r="C418" s="35"/>
      <c r="D418" s="35"/>
      <c r="E418" s="35"/>
      <c r="F418" s="35"/>
    </row>
    <row r="419" spans="2:6" x14ac:dyDescent="0.3">
      <c r="B419" s="35"/>
      <c r="C419" s="35"/>
      <c r="D419" s="35"/>
      <c r="E419" s="35"/>
      <c r="F419" s="35"/>
    </row>
    <row r="420" spans="2:6" x14ac:dyDescent="0.3">
      <c r="B420" s="35"/>
      <c r="C420" s="35"/>
      <c r="D420" s="35"/>
      <c r="E420" s="35"/>
      <c r="F420" s="35"/>
    </row>
    <row r="421" spans="2:6" x14ac:dyDescent="0.3">
      <c r="B421" s="35"/>
      <c r="C421" s="35"/>
      <c r="D421" s="35"/>
      <c r="E421" s="35"/>
      <c r="F421" s="35"/>
    </row>
    <row r="422" spans="2:6" x14ac:dyDescent="0.3">
      <c r="B422" s="35"/>
      <c r="C422" s="35"/>
      <c r="D422" s="35"/>
      <c r="E422" s="35"/>
      <c r="F422" s="35"/>
    </row>
    <row r="423" spans="2:6" x14ac:dyDescent="0.3">
      <c r="B423" s="35"/>
      <c r="C423" s="35"/>
      <c r="D423" s="35"/>
      <c r="E423" s="35"/>
      <c r="F423" s="35"/>
    </row>
    <row r="424" spans="2:6" x14ac:dyDescent="0.3">
      <c r="B424" s="35"/>
      <c r="C424" s="35"/>
      <c r="D424" s="35"/>
      <c r="E424" s="35"/>
      <c r="F424" s="35"/>
    </row>
    <row r="425" spans="2:6" x14ac:dyDescent="0.3">
      <c r="B425" s="35"/>
      <c r="C425" s="35"/>
      <c r="D425" s="35"/>
      <c r="E425" s="35"/>
      <c r="F425" s="35"/>
    </row>
    <row r="426" spans="2:6" x14ac:dyDescent="0.3">
      <c r="B426" s="35"/>
      <c r="C426" s="35"/>
      <c r="D426" s="35"/>
      <c r="E426" s="35"/>
      <c r="F426" s="35"/>
    </row>
    <row r="427" spans="2:6" x14ac:dyDescent="0.3">
      <c r="B427" s="35"/>
      <c r="C427" s="35"/>
      <c r="D427" s="35"/>
      <c r="E427" s="35"/>
      <c r="F427" s="35"/>
    </row>
    <row r="428" spans="2:6" x14ac:dyDescent="0.3">
      <c r="B428" s="35"/>
      <c r="C428" s="35"/>
      <c r="D428" s="35"/>
      <c r="E428" s="35"/>
      <c r="F428" s="35"/>
    </row>
    <row r="429" spans="2:6" x14ac:dyDescent="0.3">
      <c r="B429" s="35"/>
      <c r="C429" s="35"/>
      <c r="D429" s="35"/>
      <c r="E429" s="35"/>
      <c r="F429" s="35"/>
    </row>
    <row r="430" spans="2:6" x14ac:dyDescent="0.3">
      <c r="B430" s="35"/>
      <c r="C430" s="35"/>
      <c r="D430" s="35"/>
      <c r="E430" s="35"/>
      <c r="F430" s="35"/>
    </row>
    <row r="431" spans="2:6" x14ac:dyDescent="0.3">
      <c r="B431" s="35"/>
      <c r="C431" s="35"/>
      <c r="D431" s="35"/>
      <c r="E431" s="35"/>
      <c r="F431" s="35"/>
    </row>
    <row r="432" spans="2:6" x14ac:dyDescent="0.3">
      <c r="B432" s="35"/>
      <c r="C432" s="35"/>
      <c r="D432" s="35"/>
      <c r="E432" s="35"/>
      <c r="F432" s="35"/>
    </row>
    <row r="433" spans="2:6" x14ac:dyDescent="0.3">
      <c r="B433" s="35"/>
      <c r="C433" s="35"/>
      <c r="D433" s="35"/>
      <c r="E433" s="35"/>
      <c r="F433" s="35"/>
    </row>
    <row r="434" spans="2:6" x14ac:dyDescent="0.3">
      <c r="B434" s="35"/>
      <c r="C434" s="35"/>
      <c r="D434" s="35"/>
      <c r="E434" s="35"/>
      <c r="F434" s="35"/>
    </row>
    <row r="435" spans="2:6" x14ac:dyDescent="0.3">
      <c r="B435" s="35"/>
      <c r="C435" s="35"/>
      <c r="D435" s="35"/>
      <c r="E435" s="35"/>
      <c r="F435" s="35"/>
    </row>
    <row r="436" spans="2:6" x14ac:dyDescent="0.3">
      <c r="B436" s="35"/>
      <c r="C436" s="35"/>
      <c r="D436" s="35"/>
      <c r="E436" s="35"/>
      <c r="F436" s="35"/>
    </row>
    <row r="437" spans="2:6" x14ac:dyDescent="0.3">
      <c r="B437" s="35"/>
      <c r="C437" s="35"/>
      <c r="D437" s="35"/>
      <c r="E437" s="35"/>
      <c r="F437" s="35"/>
    </row>
    <row r="438" spans="2:6" x14ac:dyDescent="0.3">
      <c r="B438" s="35"/>
      <c r="C438" s="35"/>
      <c r="D438" s="35"/>
      <c r="E438" s="35"/>
      <c r="F438" s="35"/>
    </row>
    <row r="439" spans="2:6" x14ac:dyDescent="0.3">
      <c r="B439" s="35"/>
      <c r="C439" s="35"/>
      <c r="D439" s="35"/>
      <c r="E439" s="35"/>
      <c r="F439" s="35"/>
    </row>
    <row r="440" spans="2:6" x14ac:dyDescent="0.3">
      <c r="B440" s="35"/>
      <c r="C440" s="35"/>
      <c r="D440" s="35"/>
      <c r="E440" s="35"/>
      <c r="F440" s="35"/>
    </row>
    <row r="441" spans="2:6" x14ac:dyDescent="0.3">
      <c r="B441" s="35"/>
      <c r="C441" s="35"/>
      <c r="D441" s="35"/>
      <c r="E441" s="35"/>
      <c r="F441" s="35"/>
    </row>
    <row r="442" spans="2:6" x14ac:dyDescent="0.3">
      <c r="B442" s="35"/>
      <c r="C442" s="35"/>
      <c r="D442" s="35"/>
      <c r="E442" s="35"/>
      <c r="F442" s="35"/>
    </row>
    <row r="443" spans="2:6" x14ac:dyDescent="0.3">
      <c r="B443" s="35"/>
      <c r="C443" s="35"/>
      <c r="D443" s="35"/>
      <c r="E443" s="35"/>
      <c r="F443" s="35"/>
    </row>
    <row r="444" spans="2:6" x14ac:dyDescent="0.3">
      <c r="B444" s="35"/>
      <c r="C444" s="35"/>
      <c r="D444" s="35"/>
      <c r="E444" s="35"/>
      <c r="F444" s="35"/>
    </row>
    <row r="445" spans="2:6" x14ac:dyDescent="0.3">
      <c r="B445" s="35"/>
      <c r="C445" s="35"/>
      <c r="D445" s="35"/>
      <c r="E445" s="35"/>
      <c r="F445" s="35"/>
    </row>
    <row r="446" spans="2:6" x14ac:dyDescent="0.3">
      <c r="B446" s="35"/>
      <c r="C446" s="35"/>
      <c r="D446" s="35"/>
      <c r="E446" s="35"/>
      <c r="F446" s="35"/>
    </row>
    <row r="447" spans="2:6" x14ac:dyDescent="0.3">
      <c r="B447" s="35"/>
      <c r="C447" s="35"/>
      <c r="D447" s="35"/>
      <c r="E447" s="35"/>
      <c r="F447" s="35"/>
    </row>
    <row r="448" spans="2:6" x14ac:dyDescent="0.3">
      <c r="B448" s="35"/>
      <c r="C448" s="35"/>
      <c r="D448" s="35"/>
      <c r="E448" s="35"/>
      <c r="F448" s="35"/>
    </row>
    <row r="449" spans="2:6" x14ac:dyDescent="0.3">
      <c r="B449" s="35"/>
      <c r="C449" s="35"/>
      <c r="D449" s="35"/>
      <c r="E449" s="35"/>
      <c r="F449" s="35"/>
    </row>
    <row r="450" spans="2:6" x14ac:dyDescent="0.3">
      <c r="B450" s="35"/>
      <c r="C450" s="35"/>
      <c r="D450" s="35"/>
      <c r="E450" s="35"/>
      <c r="F450" s="35"/>
    </row>
    <row r="451" spans="2:6" x14ac:dyDescent="0.3">
      <c r="B451" s="35"/>
      <c r="C451" s="35"/>
      <c r="D451" s="35"/>
      <c r="E451" s="35"/>
      <c r="F451" s="35"/>
    </row>
    <row r="452" spans="2:6" x14ac:dyDescent="0.3">
      <c r="B452" s="35"/>
      <c r="C452" s="35"/>
      <c r="D452" s="35"/>
      <c r="E452" s="35"/>
      <c r="F452" s="35"/>
    </row>
    <row r="453" spans="2:6" x14ac:dyDescent="0.3">
      <c r="B453" s="35"/>
      <c r="C453" s="35"/>
      <c r="D453" s="35"/>
      <c r="E453" s="35"/>
      <c r="F453" s="35"/>
    </row>
    <row r="454" spans="2:6" x14ac:dyDescent="0.3">
      <c r="B454" s="35"/>
      <c r="C454" s="35"/>
      <c r="D454" s="35"/>
      <c r="E454" s="35"/>
      <c r="F454" s="35"/>
    </row>
    <row r="455" spans="2:6" x14ac:dyDescent="0.3">
      <c r="B455" s="35"/>
      <c r="C455" s="35"/>
      <c r="D455" s="35"/>
      <c r="E455" s="35"/>
      <c r="F455" s="35"/>
    </row>
    <row r="456" spans="2:6" x14ac:dyDescent="0.3">
      <c r="B456" s="35"/>
      <c r="C456" s="35"/>
      <c r="D456" s="35"/>
      <c r="E456" s="35"/>
      <c r="F456" s="35"/>
    </row>
    <row r="457" spans="2:6" x14ac:dyDescent="0.3">
      <c r="B457" s="35"/>
      <c r="C457" s="35"/>
      <c r="D457" s="35"/>
      <c r="E457" s="35"/>
      <c r="F457" s="35"/>
    </row>
    <row r="458" spans="2:6" x14ac:dyDescent="0.3">
      <c r="B458" s="35"/>
      <c r="C458" s="35"/>
      <c r="D458" s="35"/>
      <c r="E458" s="35"/>
      <c r="F458" s="35"/>
    </row>
    <row r="459" spans="2:6" x14ac:dyDescent="0.3">
      <c r="B459" s="35"/>
      <c r="C459" s="35"/>
      <c r="D459" s="35"/>
      <c r="E459" s="35"/>
      <c r="F459" s="35"/>
    </row>
    <row r="460" spans="2:6" x14ac:dyDescent="0.3">
      <c r="B460" s="35"/>
      <c r="C460" s="35"/>
      <c r="D460" s="35"/>
      <c r="E460" s="35"/>
      <c r="F460" s="35"/>
    </row>
    <row r="461" spans="2:6" x14ac:dyDescent="0.3">
      <c r="B461" s="35"/>
      <c r="C461" s="35"/>
      <c r="D461" s="35"/>
      <c r="E461" s="35"/>
      <c r="F461" s="35"/>
    </row>
    <row r="462" spans="2:6" x14ac:dyDescent="0.3">
      <c r="B462" s="35"/>
      <c r="C462" s="35"/>
      <c r="D462" s="35"/>
      <c r="E462" s="35"/>
      <c r="F462" s="35"/>
    </row>
    <row r="463" spans="2:6" x14ac:dyDescent="0.3">
      <c r="B463" s="35"/>
      <c r="C463" s="35"/>
      <c r="D463" s="35"/>
      <c r="E463" s="35"/>
      <c r="F463" s="35"/>
    </row>
    <row r="464" spans="2:6" x14ac:dyDescent="0.3">
      <c r="B464" s="35"/>
      <c r="C464" s="35"/>
      <c r="D464" s="35"/>
      <c r="E464" s="35"/>
      <c r="F464" s="35"/>
    </row>
    <row r="465" spans="2:6" x14ac:dyDescent="0.3">
      <c r="B465" s="35"/>
      <c r="C465" s="35"/>
      <c r="D465" s="35"/>
      <c r="E465" s="35"/>
      <c r="F465" s="35"/>
    </row>
    <row r="466" spans="2:6" x14ac:dyDescent="0.3">
      <c r="B466" s="35"/>
      <c r="C466" s="35"/>
      <c r="D466" s="35"/>
      <c r="E466" s="35"/>
      <c r="F466" s="35"/>
    </row>
    <row r="467" spans="2:6" x14ac:dyDescent="0.3">
      <c r="B467" s="35"/>
      <c r="C467" s="35"/>
      <c r="D467" s="35"/>
      <c r="E467" s="35"/>
      <c r="F467" s="35"/>
    </row>
    <row r="468" spans="2:6" x14ac:dyDescent="0.3">
      <c r="B468" s="35"/>
      <c r="C468" s="35"/>
      <c r="D468" s="35"/>
      <c r="E468" s="35"/>
      <c r="F468" s="35"/>
    </row>
    <row r="469" spans="2:6" x14ac:dyDescent="0.3">
      <c r="B469" s="35"/>
      <c r="C469" s="35"/>
      <c r="D469" s="35"/>
      <c r="E469" s="35"/>
      <c r="F469" s="35"/>
    </row>
    <row r="470" spans="2:6" x14ac:dyDescent="0.3">
      <c r="B470" s="35"/>
      <c r="C470" s="35"/>
      <c r="D470" s="35"/>
      <c r="E470" s="35"/>
      <c r="F470" s="35"/>
    </row>
    <row r="471" spans="2:6" x14ac:dyDescent="0.3">
      <c r="B471" s="35"/>
      <c r="C471" s="35"/>
      <c r="D471" s="35"/>
      <c r="E471" s="35"/>
      <c r="F471" s="35"/>
    </row>
    <row r="472" spans="2:6" x14ac:dyDescent="0.3">
      <c r="B472" s="35"/>
      <c r="C472" s="35"/>
      <c r="D472" s="35"/>
      <c r="E472" s="35"/>
      <c r="F472" s="35"/>
    </row>
    <row r="473" spans="2:6" x14ac:dyDescent="0.3">
      <c r="B473" s="35"/>
      <c r="C473" s="35"/>
      <c r="D473" s="35"/>
      <c r="E473" s="35"/>
      <c r="F473" s="35"/>
    </row>
    <row r="474" spans="2:6" x14ac:dyDescent="0.3">
      <c r="B474" s="35"/>
      <c r="C474" s="35"/>
      <c r="D474" s="35"/>
      <c r="E474" s="35"/>
      <c r="F474" s="35"/>
    </row>
    <row r="475" spans="2:6" x14ac:dyDescent="0.3">
      <c r="B475" s="35"/>
      <c r="C475" s="35"/>
      <c r="D475" s="35"/>
      <c r="E475" s="35"/>
      <c r="F475" s="35"/>
    </row>
    <row r="476" spans="2:6" x14ac:dyDescent="0.3">
      <c r="B476" s="35"/>
      <c r="C476" s="35"/>
      <c r="D476" s="35"/>
      <c r="E476" s="35"/>
      <c r="F476" s="35"/>
    </row>
    <row r="477" spans="2:6" x14ac:dyDescent="0.3">
      <c r="B477" s="35"/>
      <c r="C477" s="35"/>
      <c r="D477" s="35"/>
      <c r="E477" s="35"/>
      <c r="F477" s="35"/>
    </row>
    <row r="478" spans="2:6" x14ac:dyDescent="0.3">
      <c r="B478" s="35"/>
      <c r="C478" s="35"/>
      <c r="D478" s="35"/>
      <c r="E478" s="35"/>
      <c r="F478" s="35"/>
    </row>
    <row r="479" spans="2:6" x14ac:dyDescent="0.3">
      <c r="B479" s="35"/>
      <c r="C479" s="35"/>
      <c r="D479" s="35"/>
      <c r="E479" s="35"/>
      <c r="F479" s="35"/>
    </row>
    <row r="480" spans="2:6" x14ac:dyDescent="0.3">
      <c r="B480" s="35"/>
      <c r="C480" s="35"/>
      <c r="D480" s="35"/>
      <c r="E480" s="35"/>
      <c r="F480" s="35"/>
    </row>
    <row r="481" spans="2:6" x14ac:dyDescent="0.3">
      <c r="B481" s="35"/>
      <c r="C481" s="35"/>
      <c r="D481" s="35"/>
      <c r="E481" s="35"/>
      <c r="F481" s="35"/>
    </row>
    <row r="482" spans="2:6" x14ac:dyDescent="0.3">
      <c r="B482" s="35"/>
      <c r="C482" s="35"/>
      <c r="D482" s="35"/>
      <c r="E482" s="35"/>
      <c r="F482" s="35"/>
    </row>
    <row r="483" spans="2:6" x14ac:dyDescent="0.3">
      <c r="B483" s="35"/>
      <c r="C483" s="35"/>
      <c r="D483" s="35"/>
      <c r="E483" s="35"/>
      <c r="F483" s="35"/>
    </row>
    <row r="484" spans="2:6" x14ac:dyDescent="0.3">
      <c r="B484" s="35"/>
      <c r="C484" s="35"/>
      <c r="D484" s="35"/>
      <c r="E484" s="35"/>
      <c r="F484" s="35"/>
    </row>
    <row r="485" spans="2:6" x14ac:dyDescent="0.3">
      <c r="B485" s="35"/>
      <c r="C485" s="35"/>
      <c r="D485" s="35"/>
      <c r="E485" s="35"/>
      <c r="F485" s="35"/>
    </row>
    <row r="486" spans="2:6" x14ac:dyDescent="0.3">
      <c r="B486" s="35"/>
      <c r="C486" s="35"/>
      <c r="D486" s="35"/>
      <c r="E486" s="35"/>
      <c r="F486" s="35"/>
    </row>
    <row r="487" spans="2:6" x14ac:dyDescent="0.3">
      <c r="B487" s="35"/>
      <c r="C487" s="35"/>
      <c r="D487" s="35"/>
      <c r="E487" s="35"/>
      <c r="F487" s="35"/>
    </row>
    <row r="488" spans="2:6" x14ac:dyDescent="0.3">
      <c r="B488" s="35"/>
      <c r="C488" s="35"/>
      <c r="D488" s="35"/>
      <c r="E488" s="35"/>
      <c r="F488" s="35"/>
    </row>
    <row r="489" spans="2:6" x14ac:dyDescent="0.3">
      <c r="B489" s="35"/>
      <c r="C489" s="35"/>
      <c r="D489" s="35"/>
      <c r="E489" s="35"/>
      <c r="F489" s="35"/>
    </row>
    <row r="490" spans="2:6" x14ac:dyDescent="0.3">
      <c r="B490" s="35"/>
      <c r="C490" s="35"/>
      <c r="D490" s="35"/>
      <c r="E490" s="35"/>
      <c r="F490" s="35"/>
    </row>
    <row r="491" spans="2:6" x14ac:dyDescent="0.3">
      <c r="B491" s="35"/>
      <c r="C491" s="35"/>
      <c r="D491" s="35"/>
      <c r="E491" s="35"/>
      <c r="F491" s="35"/>
    </row>
    <row r="492" spans="2:6" x14ac:dyDescent="0.3">
      <c r="B492" s="35"/>
      <c r="C492" s="35"/>
      <c r="D492" s="35"/>
      <c r="E492" s="35"/>
      <c r="F492" s="35"/>
    </row>
    <row r="493" spans="2:6" x14ac:dyDescent="0.3">
      <c r="B493" s="35"/>
      <c r="C493" s="35"/>
      <c r="D493" s="35"/>
      <c r="E493" s="35"/>
      <c r="F493" s="35"/>
    </row>
    <row r="494" spans="2:6" x14ac:dyDescent="0.3">
      <c r="B494" s="35"/>
      <c r="C494" s="35"/>
      <c r="D494" s="35"/>
      <c r="E494" s="35"/>
      <c r="F494" s="35"/>
    </row>
    <row r="495" spans="2:6" x14ac:dyDescent="0.3">
      <c r="B495" s="35"/>
      <c r="C495" s="35"/>
      <c r="D495" s="35"/>
      <c r="E495" s="35"/>
      <c r="F495" s="35"/>
    </row>
    <row r="496" spans="2:6" x14ac:dyDescent="0.3">
      <c r="B496" s="35"/>
      <c r="C496" s="35"/>
      <c r="D496" s="35"/>
      <c r="E496" s="35"/>
      <c r="F496" s="35"/>
    </row>
    <row r="497" spans="2:6" x14ac:dyDescent="0.3">
      <c r="B497" s="35"/>
      <c r="C497" s="35"/>
      <c r="D497" s="35"/>
      <c r="E497" s="35"/>
      <c r="F497" s="35"/>
    </row>
    <row r="498" spans="2:6" x14ac:dyDescent="0.3">
      <c r="B498" s="35"/>
      <c r="C498" s="35"/>
      <c r="D498" s="35"/>
      <c r="E498" s="35"/>
      <c r="F498" s="35"/>
    </row>
    <row r="499" spans="2:6" x14ac:dyDescent="0.3">
      <c r="B499" s="35"/>
      <c r="C499" s="35"/>
      <c r="D499" s="35"/>
      <c r="E499" s="35"/>
      <c r="F499" s="35"/>
    </row>
    <row r="500" spans="2:6" x14ac:dyDescent="0.3">
      <c r="B500" s="35"/>
      <c r="C500" s="35"/>
      <c r="D500" s="35"/>
      <c r="E500" s="35"/>
      <c r="F500" s="35"/>
    </row>
    <row r="501" spans="2:6" x14ac:dyDescent="0.3">
      <c r="B501" s="35"/>
      <c r="C501" s="35"/>
      <c r="D501" s="35"/>
      <c r="E501" s="35"/>
      <c r="F501" s="35"/>
    </row>
    <row r="502" spans="2:6" x14ac:dyDescent="0.3">
      <c r="B502" s="35"/>
      <c r="C502" s="35"/>
      <c r="D502" s="35"/>
      <c r="E502" s="35"/>
      <c r="F502" s="35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wk1</vt:lpstr>
      <vt:lpstr>wk2</vt:lpstr>
      <vt:lpstr>blank</vt:lpstr>
      <vt:lpstr>details</vt:lpstr>
      <vt:lpstr>project numbers</vt:lpstr>
      <vt:lpstr>Number_list</vt:lpstr>
      <vt:lpstr>Project_list</vt:lpstr>
      <vt:lpstr>Project_table</vt:lpstr>
      <vt:lpstr>Type_list</vt:lpstr>
      <vt:lpstr>'wk1'!wk1_Projects</vt:lpstr>
      <vt:lpstr>'wk2'!wk2_Projects</vt:lpstr>
    </vt:vector>
  </TitlesOfParts>
  <Company>Piers Sadler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Piers Sadler</dc:creator>
  <cp:lastModifiedBy>Reuben Sadler</cp:lastModifiedBy>
  <dcterms:created xsi:type="dcterms:W3CDTF">2020-01-03T15:31:06Z</dcterms:created>
  <dcterms:modified xsi:type="dcterms:W3CDTF">2021-01-06T16:14:15Z</dcterms:modified>
</cp:coreProperties>
</file>